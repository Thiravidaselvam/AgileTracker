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TrainningMaterials\ProgressTracker\"/>
    </mc:Choice>
  </mc:AlternateContent>
  <xr:revisionPtr revIDLastSave="0" documentId="13_ncr:1_{67A58E10-7A75-42F6-9752-CB64B41587D4}" xr6:coauthVersionLast="47" xr6:coauthVersionMax="47" xr10:uidLastSave="{00000000-0000-0000-0000-000000000000}"/>
  <bookViews>
    <workbookView xWindow="-108" yWindow="-108" windowWidth="23256" windowHeight="12456" firstSheet="1" activeTab="1" xr2:uid="{00000000-000D-0000-FFFF-FFFF00000000}"/>
  </bookViews>
  <sheets>
    <sheet name="Requirements Tracker" sheetId="1" r:id="rId1"/>
    <sheet name="Issue Tracker" sheetId="2" r:id="rId2"/>
    <sheet name="Test Items Tracker" sheetId="7" r:id="rId3"/>
    <sheet name="Sprint Tracker" sheetId="3" state="hidden" r:id="rId4"/>
    <sheet name="Dashboard" sheetId="5" state="hidden" r:id="rId5"/>
    <sheet name="Support" sheetId="6" r:id="rId6"/>
    <sheet name="Action Item" sheetId="4" r:id="rId7"/>
  </sheets>
  <definedNames>
    <definedName name="_xlnm._FilterDatabase" localSheetId="0" hidden="1">'Requirements Tracker'!$A$1:$K$1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2" i="5"/>
  <c r="B6" i="5"/>
  <c r="B5" i="5"/>
  <c r="B4" i="5"/>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B7" i="5"/>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2" i="2"/>
  <c r="J28" i="2"/>
  <c r="J27" i="2"/>
  <c r="J26" i="2"/>
  <c r="J25" i="2"/>
  <c r="J24" i="2"/>
  <c r="J23" i="2"/>
  <c r="J22" i="2"/>
  <c r="J21" i="2"/>
  <c r="J20" i="2"/>
  <c r="J19" i="2"/>
  <c r="J18" i="2"/>
  <c r="J17" i="2"/>
  <c r="J16" i="2"/>
</calcChain>
</file>

<file path=xl/sharedStrings.xml><?xml version="1.0" encoding="utf-8"?>
<sst xmlns="http://schemas.openxmlformats.org/spreadsheetml/2006/main" count="1694" uniqueCount="577">
  <si>
    <t>Req ID</t>
  </si>
  <si>
    <t>Module/Menu</t>
  </si>
  <si>
    <t>Requirement</t>
  </si>
  <si>
    <t>Requestor</t>
  </si>
  <si>
    <t>Priority</t>
  </si>
  <si>
    <t>Status</t>
  </si>
  <si>
    <t>Owner</t>
  </si>
  <si>
    <t>Created Date</t>
  </si>
  <si>
    <t>Target Date</t>
  </si>
  <si>
    <t>Actual Completion</t>
  </si>
  <si>
    <t>Remarks</t>
  </si>
  <si>
    <t> </t>
  </si>
  <si>
    <t>── CRITICAL BUGS / API FAILURES ──</t>
  </si>
  <si>
    <t>ESS-001</t>
  </si>
  <si>
    <t>HR &gt; ESS &gt; My Portal</t>
  </si>
  <si>
    <t>ESS Dashboard API returns 404 for admin user — admin has no employee record linked; error message should be user-friendly 'Not an employee' instead of 404</t>
  </si>
  <si>
    <t>Mr. Ramamoorthy</t>
  </si>
  <si>
    <t>High</t>
  </si>
  <si>
    <t>Fixed</t>
  </si>
  <si>
    <t>Mrs. Dhanalakshmi</t>
  </si>
  <si>
    <t>Bug: essService.getEmployeeByUserId throws NotFoundError → HTTP 404 — no graceful handling</t>
  </si>
  <si>
    <t>ESS-002</t>
  </si>
  <si>
    <t>HR &gt; ESS &gt; My Portal / My Attendance</t>
  </si>
  <si>
    <t>shiftName always null in attendance summary and dashboard — ess.service.ts does not join with hr.shifts/shift_assignments table</t>
  </si>
  <si>
    <t>ess.service.ts getMyAttendance + getDashboard — shiftName hardcoded null</t>
  </si>
  <si>
    <t>ESS-003</t>
  </si>
  <si>
    <t>Dashboard KPI tile 'Days Present' shows raw status enum text (e.g. 'PRESENT') instead of days count for the month</t>
  </si>
  <si>
    <t>portal.tsx line 93 — todayAtt.status rendered as tile value, should show present-days count</t>
  </si>
  <si>
    <t>ESS-004</t>
  </si>
  <si>
    <t>HR &gt; ESS &gt; My Attendance</t>
  </si>
  <si>
    <t>Attendance today endpoint returns different status enum ('not_punched/checked_in/checked_out') vs attendance list ('PRESENT/ABSENT') — inconsistent contract</t>
  </si>
  <si>
    <t>ess.controller.ts getMyAttendanceToday vs getMyAttendance — normalise status enums</t>
  </si>
  <si>
    <t>ESS-005</t>
  </si>
  <si>
    <t>Dashboard 'Welcome,' renders blank name — API 404 means data is null so employee.name is never populated</t>
  </si>
  <si>
    <t>Medium</t>
  </si>
  <si>
    <t>portal.tsx line 83 — falls back to empty string when data is null due to 404</t>
  </si>
  <si>
    <t>── MISSING FRONTEND FEATURES ──</t>
  </si>
  <si>
    <t>ESS-006</t>
  </si>
  <si>
    <t>HR &gt; ESS &gt; My Leave</t>
  </si>
  <si>
    <t>No 'Apply Leave' button or dialog on ESS Leave page — employees cannot submit leave requests from self-service portal</t>
  </si>
  <si>
    <t>leave.tsx has no POST flow; essApi has no applyLeave method; i18n key hr.ess.leave.apply exists but unused</t>
  </si>
  <si>
    <t>ESS-007</t>
  </si>
  <si>
    <t>No Check-In / Check-Out punch UI on ESS Attendance page — backend POST /hr/ess/attendance/punch API is fully implemented but there is no button on the frontend</t>
  </si>
  <si>
    <t>attendance.tsx — punch button missing; essApi has no punchAttendance method</t>
  </si>
  <si>
    <t>ESS-008</t>
  </si>
  <si>
    <t>HR &gt; ESS &gt; My Payslips</t>
  </si>
  <si>
    <t>No payslip download / print option on Payslips page — i18n key hr.ess.payslips.download exists but is not wired up</t>
  </si>
  <si>
    <t>payslips.tsx — no download action column or button; getPayslipById API exists</t>
  </si>
  <si>
    <t>ESS-009</t>
  </si>
  <si>
    <t>No payslip detail view / drill-down — clicking a row does nothing; detailed component breakdown (earnings, deductions) not shown</t>
  </si>
  <si>
    <t>payslips.tsx — no row click handler; getPayslipById in essApi unused</t>
  </si>
  <si>
    <t>ESS-010</t>
  </si>
  <si>
    <t>No year filter UI on Payslips page — backend supports ?year= query param but there is no year picker on the frontend</t>
  </si>
  <si>
    <t>payslips.tsx — year filter missing; backend essService.getMyPayslips supports year param</t>
  </si>
  <si>
    <t>ESS-011</t>
  </si>
  <si>
    <t>HR &gt; ESS &gt; Tax Declaration</t>
  </si>
  <si>
    <t>Tax Declaration page (/hr/ess/tax) does not exist — referenced in dashboard pendingActions but navigates to a 404</t>
  </si>
  <si>
    <t>ess.service.ts line 82 — investment declaration pendingAction links to /hr/ess/tax; page not built</t>
  </si>
  <si>
    <t>ESS-012</t>
  </si>
  <si>
    <t>HR &gt; MSS &gt; Manager Self-Service</t>
  </si>
  <si>
    <t>MSS (Manager Self-Service) frontend completely missing — backend routes, service, and controller for MSS are fully implemented (team dashboard, team attendance, leave approvals, batch approvals) but no frontend pages exist</t>
  </si>
  <si>
    <t>mssApi exists in ess-mss.api.ts; mss.controller.ts + mss.service.ts complete; no pages in hr/ess/ for MSS</t>
  </si>
  <si>
    <t>ESS-013</t>
  </si>
  <si>
    <t>HR &gt; ESS &gt; My Profile</t>
  </si>
  <si>
    <t>Employee photo not displayed on Profile page — photoUrl field is returned by API but not rendered in profile.tsx</t>
  </si>
  <si>
    <t>Low</t>
  </si>
  <si>
    <t>profile.tsx — mapProfileRow returns photoUrl; profile page has no avatar/img element</t>
  </si>
  <si>
    <t>ESS-014</t>
  </si>
  <si>
    <t>No Aadhar number shown in Statutory Details — only PAN and UAN displayed; Aadhar is a mandatory statutory field in Indian payroll</t>
  </si>
  <si>
    <t>ess.service.ts mapProfileRow — aadhar_number column not selected; profile.tsx only shows panNumber + uanNumber</t>
  </si>
  <si>
    <t>ESS-015</t>
  </si>
  <si>
    <t>Leave balance in portal dashboard shows typeCode (e.g., 'CL') not full typeName — poor readability</t>
  </si>
  <si>
    <t>portal.tsx line 143 — displays lb.typeCode; should show lb.typeName with typeCode as badge</t>
  </si>
  <si>
    <t>ESS-016</t>
  </si>
  <si>
    <t>Leave balance does not show carry-forward days — carryForward is hardcoded to 0 in service; no carry-forward column in leave balance cards</t>
  </si>
  <si>
    <t>ess.service.ts line 257 — carryForward: 0 hardcoded; hr.leave_credits should track carry-forward</t>
  </si>
  <si>
    <t>ESS-017</t>
  </si>
  <si>
    <t>No 'Raise HR Request' ticketing / service request system — profile page only shows static text 'please raise a request with HR' with no action link</t>
  </si>
  <si>
    <t>profile.tsx line 243 — no navigation or modal for HR service requests</t>
  </si>
  <si>
    <t>ESS-018</t>
  </si>
  <si>
    <t>HR &gt; ESS &gt; All Sub-pages</t>
  </si>
  <si>
    <t>No back-to-portal breadcrumb navigation on ESS sub-pages (Profile, Attendance, Leave, Payslips, Resignation)</t>
  </si>
  <si>
    <t>All ESS sub-pages missing breadcrumb/back button; no `Back to My Portal` link</t>
  </si>
  <si>
    <t>ESS-019</t>
  </si>
  <si>
    <t>No pending approvals / notification count on ESS portal dashboard</t>
  </si>
  <si>
    <t>portal.tsx — no pendingActions badge; investment declaration only seasonal; no notification bell</t>
  </si>
  <si>
    <t>── VALIDATION GAPS ──</t>
  </si>
  <si>
    <t>ESS-020</t>
  </si>
  <si>
    <t>Profile update: no phone number format validation on frontend (should be 10-digit Indian mobile)</t>
  </si>
  <si>
    <t>profile.tsx handleSave — no Zod/Joi validation; raw string sent to PUT /hr/ess/profile</t>
  </si>
  <si>
    <t>ESS-021</t>
  </si>
  <si>
    <t>Profile update: no email format validation on frontend — invalid email can be submitted</t>
  </si>
  <si>
    <t>profile.tsx — no email regex check before calling essApi.updateMyProfile</t>
  </si>
  <si>
    <t>ESS-022</t>
  </si>
  <si>
    <t>Profile update: no postal code validation (should be 6-digit Indian PIN)</t>
  </si>
  <si>
    <t>profile.tsx — postalCode field accepts any string</t>
  </si>
  <si>
    <t>ESS-023</t>
  </si>
  <si>
    <t>Profile update: allows blank/empty strings to overwrite existing values — no required field guard</t>
  </si>
  <si>
    <t>profile.tsx — form submitted even with blank fields; backend updates empty string to DB</t>
  </si>
  <si>
    <t>ESS-024</t>
  </si>
  <si>
    <t>Profile update: no validator on backend (ess.controller.ts updateMyProfile passes req.body directly to service without validation)</t>
  </si>
  <si>
    <t>ess.controller.ts line 127 — req.body passed raw to essService.updateProfile; no Joi/Zod validator</t>
  </si>
  <si>
    <t>ESS-025</t>
  </si>
  <si>
    <t>HR &gt; ESS &gt; Resign / Separation</t>
  </si>
  <si>
    <t>Resignation: lastWorkingDay minimum date not calculated from notice period — employee should not be able to set LWD earlier than resignation date + required notice period days</t>
  </si>
  <si>
    <t>resignation.tsx line 439 — min={form.resignationDate}; should be resignationDate + noticeRequiredDays</t>
  </si>
  <si>
    <t>ESS-026</t>
  </si>
  <si>
    <t>Resignation: no duplicate submission guard — employee can submit another resignation if previous is in APPROVED/NOTICE_PERIOD status (frontend only blocks CANCELLED re-submission)</t>
  </si>
  <si>
    <t>ess.service.ts submitResignation — no check for existing active resignation before calling separationService.createRequest</t>
  </si>
  <si>
    <t>ESS-027</t>
  </si>
  <si>
    <t>Resignation: no minimum notice period validation on lastWorkingDay — backend separationService.createRequest does not validate LWD against employee's contractual notice period</t>
  </si>
  <si>
    <t>separation.service.ts createRequest — no notice period validation; employees can bypass contractual notice</t>
  </si>
  <si>
    <t>ESS-028</t>
  </si>
  <si>
    <t>Leave apply (missing feature): when implemented, must validate: (a) min 1 day, (b) from ≤ to date, (c) no overlap with existing approved leave, (d) no leave on weekends/holidays, (e) half-day leave validation</t>
  </si>
  <si>
    <t>Pre-requisite for ESS-006 — leave apply flow validation requirements</t>
  </si>
  <si>
    <t>ESS-029</t>
  </si>
  <si>
    <t>Attendance punch (missing feature): when implemented, must validate: (a) no double check-in, (b) check-out only after check-in, (c) geo-location coordinates, (d) grace period for late marking</t>
  </si>
  <si>
    <t>Pre-requisite for ESS-007 — attendance punch validation requirements</t>
  </si>
  <si>
    <t>── i18n HARDCODED STRINGS ──</t>
  </si>
  <si>
    <t>ESS-030</t>
  </si>
  <si>
    <t>portal.tsx: 'Quick Links', 'Pending Actions', 'Shift' KPI title, 'Month', 'Gross Earnings', 'Deductions', 'Net Pay', 'Credit Date', 'No payslip data available' — all hardcoded</t>
  </si>
  <si>
    <t>portal.tsx lines 98, 217, 179, 200, 203, 205 — ~9 hardcoded strings</t>
  </si>
  <si>
    <t>ESS-031</t>
  </si>
  <si>
    <t>attendance.tsx: 'View your attendance records by month', 'Total Days', all column headers (Date/Status/Shift/Check In/Check Out/Hours/Remarks), search placeholders, empty messages — hardcoded</t>
  </si>
  <si>
    <t>attendance.tsx — ~12 hardcoded strings</t>
  </si>
  <si>
    <t>ESS-032</t>
  </si>
  <si>
    <t>leave.tsx: 'Active / Pending', 'History' tabs, 'Leaves Taken', 'Pending' KPI labels, all column headers (Type/From/To/Days/Status/Reason/Applied), search placeholders, empty messages, subtitle — hardcoded</t>
  </si>
  <si>
    <t>leave.tsx — ~15 hardcoded strings</t>
  </si>
  <si>
    <t>ESS-033</t>
  </si>
  <si>
    <t>payslips.tsx: 'Pay Period', 'Gross Earnings', 'Deductions', 'Net Pay', 'Credit Date', 'Status' column headers, search placeholder, 'view your monthly salary slips' subtitle, 'No payslips available' — hardcoded</t>
  </si>
  <si>
    <t>payslips.tsx — ~9 hardcoded strings</t>
  </si>
  <si>
    <t>ESS-034</t>
  </si>
  <si>
    <t>profile.tsx: all card section titles ('Personal Information', 'Employment Details', 'Address', 'Emergency Contact', 'Statutory Details'), all field labels, 'Cancel'/'Save' buttons, 'Profile not available' message, statutory note — hardcoded</t>
  </si>
  <si>
    <t>profile.tsx — ~35+ hardcoded strings; largest i18n debt in ESS</t>
  </si>
  <si>
    <t>ESS-035</t>
  </si>
  <si>
    <t>resignation.tsx: REASON_CATEGORIES labels array (8 labels) hardcoded in TS constant — should come from i18n so Hindi/Tamil translations work</t>
  </si>
  <si>
    <t>resignation.tsx lines 32-40 — REASON_CATEGORIES not internationalised</t>
  </si>
  <si>
    <t>ESS-036</t>
  </si>
  <si>
    <t>HR &gt; ESS &gt; All ESS Pages</t>
  </si>
  <si>
    <t>All ESS pages: error toast messages hardcoded in English ('Failed to load ESS dashboard', 'Failed to load leave data', 'Failed to load attendance', 'Failed to load profile', 'Failed to load payslips') — not i18n'd</t>
  </si>
  <si>
    <t>portal/leave/attendance/profile/payslips .tsx catch blocks — error strings hardcoded</t>
  </si>
  <si>
    <t>── UX / ERP STANDARDS GAPS ──</t>
  </si>
  <si>
    <t>ESS-037</t>
  </si>
  <si>
    <t>Payslips page: credit date displayed with raw '|| —' fallback instead of formatDateDMY — breaks date locale consistency</t>
  </si>
  <si>
    <t>payslips.tsx line 117 — accessor: (row) =&gt; row.creditDate || '—' should use formatDateDMY</t>
  </si>
  <si>
    <t>ESS-038</t>
  </si>
  <si>
    <t>Attendance page: uses basic HTML &lt;input type='month'&gt; instead of locale-aware month picker — inconsistent with other HR pages that use MonthPicker component</t>
  </si>
  <si>
    <t>attendance.tsx line 198-205 — &lt;Input type='month'&gt;; other HR pages (overtime) use locale-aware MonthPicker</t>
  </si>
  <si>
    <t>ESS-039</t>
  </si>
  <si>
    <t>Leave balance carry-forward not visible anywhere in ESS — no dedicated 'Carried Forward' row; employees cannot see how many days were carried over from previous year</t>
  </si>
  <si>
    <t>leave.tsx LeaveBalance cards have no carry-forward display; service hardcodes carryForward: 0</t>
  </si>
  <si>
    <t>ESS-040</t>
  </si>
  <si>
    <t>Resignation page: no upload document option for resignation letter or supporting documents</t>
  </si>
  <si>
    <t>resignation.tsx — no file attachment; separation.types.ts has no document_url field</t>
  </si>
  <si>
    <t>ESS-041</t>
  </si>
  <si>
    <t>ESS portal: no self-service document upload for personal documents (address proof, bank change form, ID update) — only mentioned as static text in profile page</t>
  </si>
  <si>
    <t>profile.tsx line 243 — static note only; no upload endpoint or component</t>
  </si>
  <si>
    <t>── RBAC / PERMISSIONS ──</t>
  </si>
  <si>
    <t>ESS-042</t>
  </si>
  <si>
    <t>HR &gt; ESS &gt; All ESS Routes (Backend)</t>
  </si>
  <si>
    <t>ESS routes: all write operations (profile update, resignation submit/withdraw, attendance punch) use authorize('hr.ess.read') — should use hr.ess.write for mutation endpoints</t>
  </si>
  <si>
    <t>ess-mss.routes.ts line 10 — single router.use(authorize('hr.ess.read')) covers PUT/POST/DELETE; mismatch</t>
  </si>
  <si>
    <t>ESS-043</t>
  </si>
  <si>
    <t>Admin user accessing ESS pages sees hard crash ('Failed to load ESS dashboard') — no graceful 'ESS is for employees' banner or redirect for users without an employee record</t>
  </si>
  <si>
    <t>portal.tsx — should detect 404/no-employee and show informational state instead of error toast</t>
  </si>
  <si>
    <t>ESS-044</t>
  </si>
  <si>
    <t>HR &gt; MSS &gt; All MSS Routes (Backend)</t>
  </si>
  <si>
    <t>MSS routes authorise with hr.ess.read instead of a distinct hr.mss.read permission — managers and employees share one permission; cannot restrict MSS to managers only</t>
  </si>
  <si>
    <t>ess-mss.routes.ts — MSS routes should use authorize('hr.mss.read') or role-based guard</t>
  </si>
  <si>
    <t>SAL-001</t>
  </si>
  <si>
    <t>Sales &gt; Orders &gt; Line Items Step</t>
  </si>
  <si>
    <t>Line Items table redesign â€” removed GST% column (now 9 cols); renamed Amount to Taxable Value; added separate IGST and CGST+SGST tax amount columns; footer shows IGST @ 18% and CGST @ 9% + SGST @ 9% labels; Subtotal footer reflects post-discount lineItemTaxable value</t>
  </si>
  <si>
    <t>Mr.Ragesh</t>
  </si>
  <si>
    <t>Gowtham</t>
  </si>
  <si>
    <t>SAL-002</t>
  </si>
  <si>
    <t>Sales &gt; Orders &gt; Order Items Tab</t>
  </si>
  <si>
    <t>Order Items tab updated â€” added Discount column showing total amount and per-MT rate; Amount column now shows post-discount taxable value; Tax Breakdown card redesigned with taxableBase including freight/packing/insurance/otherCharges (aligns with OrderTotalsSummary)</t>
  </si>
  <si>
    <t>SAL-003</t>
  </si>
  <si>
    <t>Sales &gt; Orders &gt; Backend Schema</t>
  </si>
  <si>
    <t>Added discount_type (flat|percent) column to sales_order_items â€” V7.85 migration adds column; V7.86 backfills 8 existing rows as flat; is_deduction flag added to price_adjustments (users enter positive amount and choose discount/surcharge direction); commission agent currency fixed; payment terms overwrite on edit fixed</t>
  </si>
  <si>
    <t>SAL-004</t>
  </si>
  <si>
    <t>Sales &gt; Orders &gt; Order Header Step</t>
  </si>
  <si>
    <t>Export order destination country auto-select implemented â€” defaults to customer incorporationCountry; overrides with ship-to address country when different; fixed useEffect variable ordering bug in OrderHeaderStepForm</t>
  </si>
  <si>
    <t>INV-001</t>
  </si>
  <si>
    <t>Sales &gt; Invoice</t>
  </si>
  <si>
    <t>Fixed flat discount display on invoice â€” was incorrectly showing % symbol; now shows Rs/MT; gross minus discount minus net breakdown added to Taxes and Financial Summary; total discount in Rs shown in Review; values rounded to 2 decimal places</t>
  </si>
  <si>
    <t>INV-002</t>
  </si>
  <si>
    <t>Added discountType field to invoice types/validator/service and InvoiceCreateEditPage.tsx to support flat Rs/MT discounts inherited from Sales Orders; backfilled 8 existing invoice items with discount_type=flat via V7.86 migration</t>
  </si>
  <si>
    <t>PAR-001</t>
  </si>
  <si>
    <t>Parties &gt; Address Management</t>
  </si>
  <si>
    <t>Fixed address display in Parties module â€” state and country fields were showing raw lookup codes (e.g. 33 and IN) instead of resolved names (Tamil Nadu and India); fixed in AddressesStep and PartyDetailPage using usePartyLookups hook</t>
  </si>
  <si>
    <t>PAR-002</t>
  </si>
  <si>
    <t>Parties &gt; Address Dialog</t>
  </si>
  <si>
    <t>Fixed international address autofill in AddressDialog â€” added alphanumeric postal code validation for non-India addresses (was failing Indian PIN 6-digit rule); state/province field changed to free-text input for international addresses; integrated zippopotam.us API for international postal code auto-lookup</t>
  </si>
  <si>
    <t>SAL-012</t>
  </si>
  <si>
    <t>Orders -&gt; View Order</t>
  </si>
  <si>
    <t>Pricelist i use currecy in USD ,same price list i used in order but in order view show INR currency</t>
  </si>
  <si>
    <t>INV-003</t>
  </si>
  <si>
    <t>Invoice</t>
  </si>
  <si>
    <t>Pricelist i use currecy in USD ,order converted to invoice but in invoice show INR currency</t>
  </si>
  <si>
    <t>INV-004</t>
  </si>
  <si>
    <t>Order type is Export and GST Supply Sub-Type is EXPWOP means no gst ,so no gst calculation happen in order and invoice stage</t>
  </si>
  <si>
    <t>INV-005</t>
  </si>
  <si>
    <t>Have to issue Commercial Invoice in USD (two invoice need USD for party  and INR - this for eway bill)</t>
  </si>
  <si>
    <t>INV-006</t>
  </si>
  <si>
    <t>Also for the purpose of E Invoice / Eway Bill -  INR invoice - Option to add Exchange rate during invoicing time</t>
  </si>
  <si>
    <t>DPO-001</t>
  </si>
  <si>
    <t xml:space="preserve">Dispatch order </t>
  </si>
  <si>
    <t>Export Loading Details provide for edit dispatch order page</t>
  </si>
  <si>
    <t>SAL-005</t>
  </si>
  <si>
    <t>Sales &gt; Orders &gt; Create Form &gt; Address Preview</t>
  </si>
  <si>
    <t>Fixed state code display in billing and shipping address preview — state_province column stores numeric GST code (e.g. 32 for Kerala); formatFullAddress now resolves both gstStateCode and addr.state via useIndianStates lookup and renders stateName (e.g. Kerala) instead of raw code. resolveStateName helper added to ReviewSubmitStepForm for the same fix on Review &amp; Submit step.</t>
  </si>
  <si>
    <t>Mr. Ragesh</t>
  </si>
  <si>
    <t>Thiravidam</t>
  </si>
  <si>
    <t>Files: useIndianStates.ts, OrderHeaderStepForm.tsx, ReviewSubmitStepForm.tsx. Issue #25.</t>
  </si>
  <si>
    <t>SAL-006</t>
  </si>
  <si>
    <t>Added GSTIN display after billing and shipping address preview blocks — buyerGstin (auto-populated from customer taxIdentificationNumber) now shown as "GST: &lt;number&gt;" below each address block on Order Header step and Review &amp; Submit step.</t>
  </si>
  <si>
    <t>Files: OrderHeaderStepForm.tsx, ReviewSubmitStepForm.tsx. Issue #26.</t>
  </si>
  <si>
    <t>SAL-007</t>
  </si>
  <si>
    <t>Sales &gt; Orders &gt; Create Form &gt; Order Header Step</t>
  </si>
  <si>
    <t>Order Header step UI reorganization — (1) Removed duplicate GST/Tax summary row (Buyer GSTIN, Place of Supply, Intra/Inter-State badge) from address section. (2) Moved Partner Details (Ship-to / Payer override) to appear after Ship-to Address, before Payment Terms. (3) Moved Reverse Charge field to appear after PO Date field inside Card 1. (4) Hidden Addresses card (Card 2) entirely as its fields are covered by Bill-to / Ship-to blocks above.</t>
  </si>
  <si>
    <t>File: OrderHeaderStepForm.tsx. Merge commit: 98dadad22. Issue #27.</t>
  </si>
  <si>
    <t>SAL-008</t>
  </si>
  <si>
    <t>Sales &gt; Orders &gt; Create Form &gt; Billing Address</t>
  </si>
  <si>
    <t>Filter billing address dropdown to show only BILLING and REGISTERED address types — dropdown was showing all party address types (including SHIPPING, WAREHOUSE, BRANCH, OTHER). Auto-select on customer change also restricted to same types with null guard to avoid selecting a non-billing address by default.</t>
  </si>
  <si>
    <t>File: OrderHeaderStepForm.tsx. Issue #28. Commit: b64b0ed08</t>
  </si>
  <si>
    <t>SAL-009</t>
  </si>
  <si>
    <t>Sales &gt; Orders &gt; Price List &gt; Rule Matching</t>
  </si>
  <si>
    <t>Price rule matching must prioritize form-specific rules over any-form rules — when product form is Reel, apply the Reel rule first; when product form is Sheet, apply the Sheet rule first. Fall back to form=Any rules only when no form-specific rule exists. Two-pass matching implemented: Pass 1 exact form match, Pass 2 any-form fallback.</t>
  </si>
  <si>
    <t>File: price-circular.service.ts. Issue #29. Commit: a8a75080c</t>
  </si>
  <si>
    <t>SAL-010</t>
  </si>
  <si>
    <t>Sales &gt; Orders &gt; Create Form &gt; Discount Remarks</t>
  </si>
  <si>
    <t>Add Discount Remarks section between Line Items and Additional Charges tabs — when a price circular discount is applied and user reduces or removes it, a reason must be provided. Section shows summary of circular vs applied discount per item and a single order-level remark field (required if any discount reduced, optional otherwise). discount_remark stored in order payload.</t>
  </si>
  <si>
    <t>Files: DiscountRemarksStepForm.tsx (new), OrderCreateEditPage.tsx, LineItemsStepForm.tsx, order-form.types.ts. Issue #30. Commit: 289a4f533</t>
  </si>
  <si>
    <t>SAL-011</t>
  </si>
  <si>
    <t>Sales &gt; Orders &gt; Line Items &gt; Discount Breakdown</t>
  </si>
  <si>
    <t>Show per-adjustment discount breakdown in line items table — when a price circular has multiple adjustments (e.g. dd=26/MT, AD=50/MT), display each adjustment type on its own row in the Discount column with an individually editable value. Deductions shown with − prefix, surcharges with + prefix. Net discount total shown as footer. Falls back to single input when no circular adjustments.</t>
  </si>
  <si>
    <t>Files: LineItemsStepForm.tsx, order-form.types.ts (ICircularAdjustmentLine). Issue #31. Commit: 259e6e495</t>
  </si>
  <si>
    <t>HR-SH-001</t>
  </si>
  <si>
    <t>HR&gt;Shift Management&gt;Shift Roster</t>
  </si>
  <si>
    <t>Roster Shift Details Should be in Matrix Format like Bulk Atttendance Page</t>
  </si>
  <si>
    <t>Mr.Ramamoorthy</t>
  </si>
  <si>
    <t>Open</t>
  </si>
  <si>
    <t>Dhanalakshmi</t>
  </si>
  <si>
    <t>HR-SH-002</t>
  </si>
  <si>
    <t>Department wise Roster and general Roster Option</t>
  </si>
  <si>
    <t>HR-PR-001</t>
  </si>
  <si>
    <t>HR&gt;Payroll</t>
  </si>
  <si>
    <t>financial year annual bonus calculation 
State-Specific PT &amp; Bonus Handling-financial year annual bonus calculation</t>
  </si>
  <si>
    <t>HR-SE-001</t>
  </si>
  <si>
    <t>HR&gt;Separation&amp;Exit</t>
  </si>
  <si>
    <t xml:space="preserve">Notice Period Policy Option </t>
  </si>
  <si>
    <t>HR-SH-003</t>
  </si>
  <si>
    <t xml:space="preserve">No roster template cloning-Users creating a 3-week ROTATING template for Department B that is similar to Department A's   template must re-enter all rows. No "clone template" endpoint exists.
</t>
  </si>
  <si>
    <t>HR-SH-004</t>
  </si>
  <si>
    <t>No individual assignment override from matrix view Clicking a cell in the matrix opens assign/edit dialog, but saving creates a separate    assignment — it doesn't modify the roster template. There's no way to mark "this employee is   exception to the template on this date"</t>
  </si>
  <si>
    <t>HR-SH-005</t>
  </si>
  <si>
    <t xml:space="preserve">No roster "apply to date range" rollback clear_existing is destructive with no undo. If the generate run fails mid-way (e.g. DB error   at employee 40/50), the first 39 employees are generated, the rest are cleared and not  regenerated.    No transaction wraps the entire generate loop.
</t>
  </si>
  <si>
    <t>DPO-003</t>
  </si>
  <si>
    <t>Dispatch Order</t>
  </si>
  <si>
    <t>Driver details warning banner on dispatch order detail page</t>
  </si>
  <si>
    <t>Warning shown on DRAFT orders missing vehicle number, driver name, or phone</t>
  </si>
  <si>
    <t>DPO-004</t>
  </si>
  <si>
    <t>Filter available orders list to stock-allocated orders only in create wizard</t>
  </si>
  <si>
    <t>Only orders with reels assigned / approved FG entries / bundles shown; non-allocated orders excluded</t>
  </si>
  <si>
    <t>INV-007</t>
  </si>
  <si>
    <t>Invoices</t>
  </si>
  <si>
    <t>Auto-set EXPORT_INVOICE type when creating invoice from export dispatch order</t>
  </si>
  <si>
    <t>Invoice type automatically set to EXPORT_INVOICE when sourced from an export dispatch order</t>
  </si>
  <si>
    <t>Issue ID</t>
  </si>
  <si>
    <t>Issue Description</t>
  </si>
  <si>
    <t>Severity</t>
  </si>
  <si>
    <t>Reported By</t>
  </si>
  <si>
    <t>Open Date</t>
  </si>
  <si>
    <t>Due Date</t>
  </si>
  <si>
    <t>Days Open</t>
  </si>
  <si>
    <t>Resolution</t>
  </si>
  <si>
    <t>Procurement &gt; Supplier Quotations &gt; List — Quotation list shows wrong total amount (SQ-2606-0006: ₹14,052 vs correct ₹13,452). updateQuotation was replacing lines without recalculating header totals.</t>
  </si>
  <si>
    <t>medium</t>
  </si>
  <si>
    <t>Manjunath</t>
  </si>
  <si>
    <t>completed</t>
  </si>
  <si>
    <t>Fixed: Added header total recalculation (subtotal, tax_amount, total_amount) after line replacement in supplier-quotation.service.ts</t>
  </si>
  <si>
    <t>Procurement &gt; Supplier Quotations &gt; List — Import quotation (SQ-2606-0002) showing foreign currency amount ₹4,59,728 instead of landed cost INR ₹4,53,52,520. List page was displaying USD total_amount as INR.</t>
  </si>
  <si>
    <t>high</t>
  </si>
  <si>
    <t>Fixed: List page now renders landedCostInr for IMPORT supplier type instead of total_amount</t>
  </si>
  <si>
    <t>Procurement &gt; Purchase Requisitions — Line item Net Total shows tax-inclusive value (₹1,050) in line tab but Review page and list show pre-tax value (₹1,000). Estimated amount also excluded tax.</t>
  </si>
  <si>
    <t>Fixed: Backend calculateLineAmounts uses netAmt (post-discount+tax) for estimatedAmount; FE ReviewStep total now includes discount &amp; tax</t>
  </si>
  <si>
    <t>Procurement &gt; Purchase Orders &gt; List — Total Amount column showing ₹0 for all POs.</t>
  </si>
  <si>
    <t>Fixed: PO list column accessor changed from netAmount (non-existent) to totalAmount</t>
  </si>
  <si>
    <t>Procurement &gt; Purchase Orders — Converting quotation to PO results in tax showing zero in PO view and edit form.</t>
  </si>
  <si>
    <t>Fixed: Line mapper corrected api.tax_rate → api.igst_percent; header mapper corrected api.total_tax_amount → api.total_tax; form fallback no longer overrides explicit 0% tax with 18%</t>
  </si>
  <si>
    <t>Master Data &gt; Supplier Master &gt; Certifications — 500 Internal Server Error when saving certification. DB check constraint chk_certification_type rejected values sent by frontend.</t>
  </si>
  <si>
    <t>Fixed: Aligned all three layers — DB constraint codes (ISO_9001, ISO_14001, etc.), backend validator enum, and frontend dropdown options</t>
  </si>
  <si>
    <t>Production &gt; Material Requisitions — After clicking Post Goods Issue, Lines tab shows Issued = 0 for all lines. MR stuck in APPROVED when materials were already issued via Work Order page.</t>
  </si>
  <si>
    <t>Fixed: issue() now checks for pending WO materials first; if already issued via WO, reuses existing GI doc and updates MR lines from wo_materials.issued_quantity via JOIN</t>
  </si>
  <si>
    <t>Production &gt; Material Requisitions — Issuing material via Work Order material dialog does not update quantity_issued on MR requisition lines. MR detail Lines tab always shows Issued = 0.</t>
  </si>
  <si>
    <t>Fixed: workOrderService.issueMaterial() and postGoodsIssue() now sync wo_material_requisition_lines.issued_quantity after updating wo_materials</t>
  </si>
  <si>
    <t>Inventory &gt; Material Requests &gt; Lines tab — Lines tab shows quantity_issued = 0 even when material issues are in Approved status. applyIssuance was only called on postIssue (Post to Stock), not on approveIssue. Fixed by syncing MR line quantities at approve time, guarding postIssue against double-counting via delta, and reversing on cancelIssue.</t>
  </si>
  <si>
    <t>Fixed in material-issue.service.ts: sync MR lines on approveIssue (final level), delta guard in postIssue, reverseIssuance in cancelIssue. DB backfill: 5 lines, 2 MR headers updated.</t>
  </si>
  <si>
    <t>Master Data &gt; Business Partners — Address display and edit page showing raw state/country codes (e.g. "TN", "IN") instead of resolved names (e.g. "Tamil Nadu", "India").</t>
  </si>
  <si>
    <t>Commits: 41fd891ca, a4c79605b</t>
  </si>
  <si>
    <t>Procurement &gt; Supplier Quotations &gt; List — Total amount shown without discount. Per-line discount_amount was stored on lines but never rolled up to header discount_amount, so total_amount = subtotal + tax instead of subtotal - discount + tax.</t>
  </si>
  <si>
    <t>Fixed createQuotation and updateQuotation in supplier-quotation.service.ts to accumulate lineDiscountTotal in loop; Migration V7.99 backfills existing records. Commit: 2dcbdd17f</t>
  </si>
  <si>
    <t>Procurement &gt; Supplier Quotations &gt; List — Import quotation landed cost showing wrong value. clearing_forwarding and local_transport are per-unit INR values but landed_cost_inr was stored without multiplying by quantity, understating the landed cost.</t>
  </si>
  <si>
    <t>Migration V7.98 recalculates line and header landed_cost_inr using cf×qty + lt×qty formula. 33 lines and 27 headers corrected. Commit: d241c3af9</t>
  </si>
  <si>
    <t>Inventory &gt; Material Requests &gt; Lines tab — quantity_issued showed 0 even when material issues were in Approved status. applyIssuance was only called on Post to Stock, not on approval, so the Lines tab showed no committed quantities.</t>
  </si>
  <si>
    <t>Fixed material-issue.service.ts: applyIssuance on approveIssue (final level), delta guard in postIssue to prevent double-count, reverseIssuance on cancelIssue. DB backfill: 5 lines, 2 MR headers. Commit: 31b5cf9c7</t>
  </si>
  <si>
    <t>Procurement &gt; Supplier Quotations &gt; Comparison — Quotation comparison page had broken visibility in dark mode. All card headers, KPI stat cards, supplier quote cards, status chips, alert banners, split-award/PO panels, and inline badges used hardcoded light-mode background classes (bg-white, bg-gray-*, bg-blue-50, etc.) with no dark: variants.</t>
  </si>
  <si>
    <t xml:space="preserve">Ram Vicky </t>
  </si>
  <si>
    <t>Fixed: Added dark: variants for all hardcoded light-mode backgrounds in comparative-analysis.tsx (92 changes, 48 insertions). Commit: 7e56ec312</t>
  </si>
  <si>
    <t xml:space="preserve"> Shift Roster&gt;Issue: MONTHLY and CUSTOM patterns do nothing special  Where: generateRoster  Detail: Both are treated identically to WEEKLY (only day_of_week match). date_sequence column exists
    in DB and types but is never read during generation. MONTHLY should match by day-of-month (1–31), 
    CUSTOM by explicit date. Currently useless pattern types.
</t>
  </si>
  <si>
    <t>Error messages embed raw UUIDs, not employee codes-Every error entry says "abc-123-uuid on 2026-06-14: approved leave exists". Users cannot  read    these in the UI. Should be "EMP-00012 on 14-Jun-2026: ...". Employee code is not fetched in the   
    employee list query.</t>
  </si>
  <si>
    <t xml:space="preserve">For each employee × each date × shift: 4 sequential DB queries (existing check, leave check,    holiday check, overlap check, rest check). A 30-day roster for 50 employees = up to 6,000
    sequential DB round-trips. Will time out or severely degrade for large companies.
</t>
  </si>
  <si>
    <t>Holiday query does company_id = $2 OR company_id IS NULL but ignores plant_id-scoped</t>
  </si>
  <si>
    <t xml:space="preserve">    holidays. An employee in Plant B will have Plant A's holidays applied (or vice-versa).</t>
  </si>
  <si>
    <t>Query does start_date &gt;= $2 AND start_date &lt;= $3, so a permanent assignment</t>
  </si>
  <si>
    <t xml:space="preserve">    (start=2026-01-01, end=NULL) is invisible when querying 2026-06-01 to 2026-06-30 unless its</t>
  </si>
  <si>
    <t xml:space="preserve">    start_date falls in that range. Should use overlap: start_date &lt;= $3 AND (end_date IS NULL OR     </t>
  </si>
  <si>
    <t xml:space="preserve">    end_date &gt;= $2).</t>
  </si>
  <si>
    <t>The in-memory weeklyAssigned map only tracks assignments created during this run. If an     employee already has 5 assignments from a previous run, the counter starts at 0 and allows 6 more.    Must pre-seed from DB.</t>
  </si>
  <si>
    <t xml:space="preserve">DAY_CYCLE skips check for empOffDays — actually it does check, but dayCycleShiftForDate   still     returns a shift even on a weekly off day. The off-day skip happens before dayCycleShiftForDate is     called, so it should work — but if cycle_reference_date is a Sunday and Sunday is off,    position still advances, causing a permanent 1-day drift in the rotation.the cycle  </t>
  </si>
  <si>
    <t xml:space="preserve">Delete template doesn't check for active generated assignments.deleteRosterTemplate  Detail: Hard-deletes the template row with no guard. If employees have active assignments generated   from this template, the assignments remain (no roster_template_id FK on hift_assignments) at the
    template is gone — no audit trail of what generated the assignments.
</t>
  </si>
  <si>
    <t>available_capacity returns minimum_staffing, not maximum.now reads minimum_staffing from production.shifts. But minimum_staffing is the    required minimum, not the maximum capacity. These are different concepts. Returning minimum as    "available capacity" is semantically wrong — it should be max headcount minus current assigned.</t>
  </si>
  <si>
    <t>Sales &gt; Sales Orders &gt; Create Form &gt; Bill to Customer — Customer dropdown only showed party name with no code. Users could not distinguish customers with similar names. Search only matched on name.</t>
  </si>
  <si>
    <t>low</t>
  </si>
  <si>
    <t>Ragesh</t>
  </si>
  <si>
    <t>Fixed: fetchCustomers now maps partyCode → code. SelectItem renders as "code - name". filteredCustomers search covers both name and code. Placeholder updated to "Search by name or code…". Commit: b0b164838</t>
  </si>
  <si>
    <t>Sales &gt; Sales Orders &gt; Line Items &gt; Product Search — Newly created products not appearing immediately in the product search dropdown. Browse list used a one-time fetch flag that never reset, so products created after the first focus were invisible until page refresh.</t>
  </si>
  <si>
    <t>Fixed: Added 30s stale TTL to browse list cache (browseFetchedAtRef) — re-fetches on focus after 30s so newly created products appear immediately. Also cleared stale full-search results in performAutocomplete to prevent old results hiding fresh suggestions. Commits: c286901e4</t>
  </si>
  <si>
    <t xml:space="preserve">Sales &amp; Distribution
</t>
  </si>
  <si>
    <t>give an waring message like please enter driver details to enable start loading option</t>
  </si>
  <si>
    <t>Sales &amp; Distribution &gt;invoicing &gt;sales invoices&gt; Generate from so -In sales invoices ,generate from SO ,the text are not visible in the dark theme</t>
  </si>
  <si>
    <t>Kalatheeswaran</t>
  </si>
  <si>
    <t>Unfixed</t>
  </si>
  <si>
    <t>Sales &gt; Sales Orders &gt; Line Items &gt; Product Search — Product search was showing all product types (raw material, semi-finished, consumable, etc.). Sales orders should only list Finished Goods products.</t>
  </si>
  <si>
    <t>Fixed: Added productType="finished_goods" to both ProductAutocomplete instances in LineItemsStepForm — filters browse list and autocomplete/search API to FG only. Commit: df4054d3b</t>
  </si>
  <si>
    <t>Sales &gt; Sales Orders &gt; Bill to Customer — Standard order type was showing only DOMESTIC-typed customers, excluding dealers and null-type customers. Export order type should show only EXPORT customers; all other order types should show all customers except EXPORT.</t>
  </si>
  <si>
    <t>Fixed: fetchCustomers now fetches all customers for non-export orders and filters EXPORT type client-side (case insensitive). Export orders use API-level customerType=EXPORT filter. Info text updated to "all non-export customers". Commit: 517d10cff</t>
  </si>
  <si>
    <t>Sales &gt; Sales Orders &gt; Round Off — Round off toggle was disabled by default on new sales orders, requiring users to manually enable it every time.</t>
  </si>
  <si>
    <t>Fixed: Changed roundOff default value from false to true in OrderCreateEditPage.tsx initial form state. Commit: 19acc7502</t>
  </si>
  <si>
    <t>Sales &amp; Distribution &gt;invoicing &gt; -create invoice -In sales invoices ,creating new invoices i have tried to create invoice but I cant and it shows the error message</t>
  </si>
  <si>
    <t xml:space="preserve"> Roster generation does not enforce Factories Act §54 daily 9-hour cap — shifts exceeding 9 hrs   are assigned without error</t>
  </si>
  <si>
    <t>Roster generation does not enforce Factories Act §55 mandatory 30-min break for shifts &gt;5 hours —  break_duration_minutes can be 0 on any shift</t>
  </si>
  <si>
    <t>No spread-of-hours check (Factories Act §56 max 10.5 hrs) — shift start-to-end span is unbounded</t>
  </si>
  <si>
    <t>min_rest_hours_between_shifts defaults to 0 instead of statutory 11 hrs — shift rotations can be
  back-to-back if policy row is unconfigured</t>
  </si>
  <si>
    <t>Roster generator enforces max_headcount upper bound but never blocks assignments below
  minimum_staffing — understaffed shifts generated silently</t>
  </si>
  <si>
    <t>No consecutive night shift cap — employees can be assigned unlimited sequential night shifts with  no fatigue/safety limit</t>
  </si>
  <si>
    <t>Quarterly overtime quota (Factories Act §64 max 75 hrs/quarter) not tracked or enforced at
  assignment or generation level</t>
  </si>
  <si>
    <t>Blocking §51 day-7 assignment logs an error but does not create a compensatory rest day
  entitlement as required by Factories Act §52</t>
  </si>
  <si>
    <t>Shift validator accepts identical start_time and end_time — zero-duration shifts are not rejected</t>
  </si>
  <si>
    <t>Shift validator does not reject crosses_midnight=false when end_time &lt; start_time —
  negative-duration shifts created silently</t>
  </si>
  <si>
    <t>break_duration_minutes is not compared to shift duration — a break longer than the shift itself
  is accepted</t>
  </si>
  <si>
    <t>night_shift_premium_percentage is accepted on any shift regardless of whether start_time falls
  in the 22:00–06:00 statutory night window</t>
  </si>
  <si>
    <t>No separate minimum_staffing floor for night shifts — Indian safety codes require a higher
  mandatory crew count for shifts operating between 22:00–06:00</t>
  </si>
  <si>
    <t>Shift assigned on weekly-off day renders orange warning in matrix but is not blocked and saves
  without any confirmation or double-pay acknowledgment</t>
  </si>
  <si>
    <t>Shift assigned on public holiday renders red warning in matrix but saves without blocking,
  compensatory-off grant, or double/triple-pay acknowledgment</t>
  </si>
  <si>
    <t>getRosterAvailability returns is_understaffed flag but the matrix table never renders it —
  managers cannot see below-minimum-staffing shifts</t>
  </si>
  <si>
    <t>MAX_MATRIX_DAYS = 30 truncates 31-day months — the last day of July, August, October, December,
  and January is always cut off</t>
  </si>
  <si>
    <t>Manual assign dialog has no past-date guard — shift assignments can be backdated freely (CSV
  import blocks this but dialog does not)</t>
  </si>
  <si>
    <t>Roster matrix has no plant filter — multi-plant factories cannot view or generate a single
  plant's roster</t>
  </si>
  <si>
    <t>ROTATING template generation does not validate that all configured cycle groups contain at least  one shift — empty group weeks are silently skipped</t>
  </si>
  <si>
    <t>DAY_CYCLE block daysCount values are not summed and validated against the intended cycle period
  — overlapping or gap-producing block sequences are accepted</t>
  </si>
  <si>
    <t>GenerateRosterSchema has no maximum date-range guard — a multi-year generation range is
  accepted, risking mass row insertion with no safeguard</t>
  </si>
  <si>
    <t xml:space="preserve">Sales &amp; Distribution &gt;invoicing  -In sales invoices ,after you click the more option menu  and click "Submit for approval" .In there text are not visible in the dark theme
</t>
  </si>
  <si>
    <t>Break times not validated against shift window  shiftBreakSchema accepts any start_time/end_time without checking the break falls inside the shift's  own start–end window; a break at 14:00 on a 06:00–14:00 shift is accepted.</t>
  </si>
  <si>
    <t>Shift Roster</t>
  </si>
  <si>
    <t>Multiple breaks not checked for mutual overlap  When breaks array has more than one entry, no validation that break intervals don't overlap each  other.</t>
  </si>
  <si>
    <t>Factories Act §54 daily 9-hour cap not in shift validator  shiftCrossFieldCheck enforces the 4-hour minimum (GAP-09) but has no ceiling check — a 10-hour or  12-hour shift grossDuration is accepted without error.</t>
  </si>
  <si>
    <t>Factories Act §55 mandatory 30-min break not enforced in validator  Shift duration &gt; 5 hours is accepted with break_duration_minutes: 0 — the statutory 30-minute rest  interval is never required by the schema.</t>
  </si>
  <si>
    <t>Factories Act §56 spread-of-hours ceiling (10.5 h) not checked  No validation that end_time − start_time (inclusive of all breaks) stays within the 10.5-hour  statutory spread limit</t>
  </si>
  <si>
    <t>grace_period_minutes and overtime_threshold_minutes not bounded by shift duration  Both fields can exceed the shift duration (e.g., OT threshold of 600 min on a 480-min shift means  overtime never triggers). No cross-field comparison exists.</t>
  </si>
  <si>
    <t>Employment type vs assignment type mismatch deferred but never implemented  shift-assignment.validator.ts:60 has a comment // Gap 2.4 Note: validated in service layer but the  service layer has no such check — a PERMANENT employee can receive a CONTRACTUAL assignment  without 
  error.</t>
  </si>
  <si>
    <t>Shift change request does not verify employee is assigned to from_shift_id on change_date    CreateShiftChangeRequestSchema validates the date is not in the past and from ≠ to, but never  queries whether the employee actually holds from_shift_id on change_date</t>
  </si>
  <si>
    <t>Shift swap request does not verify both employees have shifts to swap  RequestShiftSwapSchema validates only date and reason — no check that the initiating employee has a  shift on change_date or that the swap target has a shift on the same date</t>
  </si>
  <si>
    <t>WFH request not blocked for night shift workers in manufacturing  CreateWFHRequestSchema imposes no restriction on shift type — a night-shift production worker can  raise a WFH request, which is operationally invalid in a factory context</t>
  </si>
  <si>
    <t>STATE holiday type accepted without plant_id  CreateHolidaySchema makes plant_id optional for all holiday types, including STATE. A state holiday  without plant association applies to no plant specifically and affects all plants globally — a   plant_id should be required when holiday_type = 'STATE'</t>
  </si>
  <si>
    <t>Comp-off credit insert (GAP-08) has no guard for missing 'CO' leave type  generateRoster inserts into hr.leave_credits with leave_type_code = 'CO' but never pre-checks that a  Compensatory Off leave type exists for the company — the insert will throw a FK violation if the   leave type is absent.</t>
  </si>
  <si>
    <t>Quarterly OT cap (Factories Act §64 — 75 hrs/quarter) not tracked  No counter or check exists at assignment, generation, or policy level for cumulative overtime per  quarter per employee.</t>
  </si>
  <si>
    <t>Sales &gt; Sales Orders &gt; List &gt; Print — Print Report button was printing the entire order list as one document. Each order should be printable individually from the row action buttons.</t>
  </si>
  <si>
    <t xml:space="preserve">sales &amp; Distribution &gt;invoicing -In sales invoices ,after you click the more option menu  and click "Duplicate" then if u save draft the error message it shows is not user friendly 
</t>
  </si>
  <si>
    <t xml:space="preserve">sales &amp; Distribution &gt;invoicing  -In sales invoices ,click more option menu and click "preview pdf" and in that if you click download pdf and if you view it the content in the pdf is so small 
</t>
  </si>
  <si>
    <t xml:space="preserve">sales &amp; Distribution &gt;invoicing  -In sales invoices , click  " ⋮ "  and click cancel invoice ,the content in that form is not visible in the dark theme
</t>
  </si>
  <si>
    <t>kalatheeswaran</t>
  </si>
  <si>
    <t xml:space="preserve">sales &amp; Distribution &gt;invoicing  -In sales invoices , click  " ⋮ "  and click void invoice ,the content in that form is not visible in the dark theme
</t>
  </si>
  <si>
    <t xml:space="preserve">sales &amp; Distribution &gt;invoicing  -In sales invoices , click  " ⋮ "  and click record payment ,the content are not visible in the dark theme
</t>
  </si>
  <si>
    <t xml:space="preserve">sales &amp; Distribution &gt;invoicing  -In sales invoices , click  " ⋮ "  and click generate e-invoice ,i cant generate and i  tried differnt orders also same error message 
</t>
  </si>
  <si>
    <t>Test ID</t>
  </si>
  <si>
    <t>Module</t>
  </si>
  <si>
    <t>Sub Module</t>
  </si>
  <si>
    <t>Issue</t>
  </si>
  <si>
    <t>Description</t>
  </si>
  <si>
    <t>Tested By</t>
  </si>
  <si>
    <t>SR-001</t>
  </si>
  <si>
    <t>Shift Management</t>
  </si>
  <si>
    <t>cycle_week must not exceed cycle_length-</t>
  </si>
  <si>
    <t>Validator allows cycle_week=5 on a 2-week cycle roster. A shift row that references a week beyond cycle_length will never fire during generation, silently producing an incomplete roster.</t>
  </si>
  <si>
    <t>Ramamoorthy</t>
  </si>
  <si>
    <t>Closed</t>
  </si>
  <si>
    <t>SR-002</t>
  </si>
  <si>
    <t>Block weekly_off_days with all 7 days selected</t>
  </si>
  <si>
    <t>Validator accepts weekly_off_days=[0,1,2,3,4,5,6]. Generating a roster with all days off produces 0 assignments with no user-visible error.</t>
  </si>
  <si>
    <t>SR-003</t>
  </si>
  <si>
    <t>clear_existing misses open-ended assignments</t>
  </si>
  <si>
    <t>generateRoster with clear_existing=true uses WHERE start_date &gt;= $2 AND start_date &lt;= $3. This misses range-based assignments (end_date IS NULL or beyond range) that cover the generated period.</t>
  </si>
  <si>
    <t>SR-004</t>
  </si>
  <si>
    <t>Cross-tenant data leak in getRosterByDate</t>
  </si>
  <si>
    <t>getRosterByDate filters by plantId/departmentId without scoping to company_id. A request with a valid UUID from another company's plant can return that tenant's employee roster.</t>
  </si>
  <si>
    <t>SR-005</t>
  </si>
  <si>
    <t>Generation error list not surfaced in UI</t>
  </si>
  <si>
    <t>API returns errors[] array (employee ID, date, reason per entry) but the UI only shows a single count toast. Users cannot identify which employees or dates failed without checking logs.</t>
  </si>
  <si>
    <t>SR-006</t>
  </si>
  <si>
    <t>ROTATING template accepts fewer shifts than cycle_length</t>
  </si>
  <si>
    <t>A 3-week ROTATING cycle can be saved with shift rows only for week 1. Weeks 2 and 3 silently get no assignments during generation — no warning shown to user.</t>
  </si>
  <si>
    <t>SR-007</t>
  </si>
  <si>
    <t>Submit button not disabled when no valid shifts in template form</t>
  </si>
  <si>
    <t>Handler checks valid.length === 0 after submit and shows toast, but the Create/Update button remains enabled. API rejects it anyway, but UX is confusing and wastes a network round-trip.</t>
  </si>
  <si>
    <t>SR-008</t>
  </si>
  <si>
    <t>display_order not re-sequenced after row removal in DAY_CYCLE</t>
  </si>
  <si>
    <t>addRow() sets displayOrder=prev.length+1 correctly, but removeRow() leaves gaps (e.g. [1,2,4] after removing index 2). DAY_CYCLE rotation depends on display_order for correct sequence.</t>
  </si>
  <si>
    <t>SR-009</t>
  </si>
  <si>
    <t>shift_id existence not verified before saving template</t>
  </si>
  <si>
    <t>Validator accepts any valid UUID as shift_id. If the UUID references a deleted or wrong-company shift, the roster detail row is inserted with an orphaned FK — future generation silently skips those rows.</t>
  </si>
  <si>
    <t>SR-010</t>
  </si>
  <si>
    <t>Shift capacity hardcoded to 999 in getShiftAvailability</t>
  </si>
  <si>
    <t>getRosterAvailability returns available_capacity: 999 (hardcoded placeholder). No warning is issued when a shift is over-staffed during generation or manual assignment.</t>
  </si>
  <si>
    <t>SR-011</t>
  </si>
  <si>
    <t>No 6-day/week max enforcement during roster generation</t>
  </si>
  <si>
    <t>generateRoster does not count assigned days per employee per calendar week. India Factories Act §51 limits work to 6 days/week. Over-assignment is written to DB without warning.</t>
  </si>
  <si>
    <t>SR-012</t>
  </si>
  <si>
    <t>No minimum rest-hours check between consecutive shifts</t>
  </si>
  <si>
    <t>generateRoster does not verify that the gap between an employee's previous shift end time and the new shift start time meets hr.shift_policies.min_rest_hours_between_shifts. This can create legally non-compliant schedules.</t>
  </si>
  <si>
    <t>SR-013</t>
  </si>
  <si>
    <t>Missing UNIQUE constraint on display_order per roster (DAY_CYCLE)</t>
  </si>
  <si>
    <t>hr.shift_roster_details has no unique constraint on (shift_roster_id, display_order). Duplicate display_order values on a DAY_CYCLE roster silently corrupt the rotation sequence — whichever row is fetched first wins.</t>
  </si>
  <si>
    <t>SR-014</t>
  </si>
  <si>
    <t>Daily roster shows inactive shifts</t>
  </si>
  <si>
    <t>getDailyRoster fetches all shifts from production.shifts without filtering is_active=TRUE. Inactive shifts appear as empty cards in the daily view, confusing operators.</t>
  </si>
  <si>
    <t>SR-015</t>
  </si>
  <si>
    <t>createRosterTemplate API client uses `any` type</t>
  </si>
  <si>
    <t>createRosterTemplate(data: any) in shift-assignment.api.ts has no TypeScript contract. Frontend can send invalid payloads without compile-time errors. getRosterTemplateById returns unknown.</t>
  </si>
  <si>
    <t>SR-016</t>
  </si>
  <si>
    <t>i18n missing — pattern type labels (ROTATING, DAY_CYCLE, etc.)</t>
  </si>
  <si>
    <t>Pattern type values WEEKLY, MONTHLY, CUSTOM, ROTATING, DAY_CYCLE are rendered as raw enum strings in the template list badges and form dropdowns. No translations exist in en/hi/ta hr.json.</t>
  </si>
  <si>
    <t>SR-017</t>
  </si>
  <si>
    <t>i18n missing — cycle setting field labels</t>
  </si>
  <si>
    <t>Cycle Length, Reference Date, Weekly Off Days, and Days per Shift Block labels are hardcoded English strings in roster-templates.tsx.</t>
  </si>
  <si>
    <t>SR-018</t>
  </si>
  <si>
    <t>i18n missing — generate / apply template dialog strings</t>
  </si>
  <si>
    <t>Apply Template tab strings (Start Date, End Date, Employees, Clear existing assignments, Generating..., success/error result messages) are all hardcoded English in roster.tsx.</t>
  </si>
  <si>
    <t>SR-019</t>
  </si>
  <si>
    <t>i18n missing — daily view and matrix view UI strings</t>
  </si>
  <si>
    <t>Daily Roster', 'Load', 'Weekly Off', 'Unassigned', 'No employees assigned', 'Pick a date and click Load', 'Load Matrix', 'Preview Changes' are all hardcoded strings.</t>
  </si>
  <si>
    <t>SR-020</t>
  </si>
  <si>
    <t>HTTP error responses not documented in controller</t>
  </si>
  <si>
    <t>All shift-roster controller endpoints use generic catch blocks with no JSDoc @throws annotations and no OpenAPI response schemas for 4xx/5xx errors. Makes API contract unclear for consumers.</t>
  </si>
  <si>
    <t>SR-021</t>
  </si>
  <si>
    <t>No 409 Conflict response on concurrent template update race condition</t>
  </si>
  <si>
    <t>If two requests update the same roster template simultaneously, the second UPDATE returns rowCount=0 which is currently thrown as NotFoundError (404). Should be a 409 Conflict to signal the client to reload.</t>
  </si>
  <si>
    <t>Separation&amp; Exit</t>
  </si>
  <si>
    <t>Separation Request</t>
  </si>
  <si>
    <t>Employee code not displayed</t>
  </si>
  <si>
    <t xml:space="preserve">Employee name should display with Employee code </t>
  </si>
  <si>
    <t>HR-SE-002</t>
  </si>
  <si>
    <t>F&amp; F settlements</t>
  </si>
  <si>
    <t>column e.is_pf_applicable does not exist</t>
  </si>
  <si>
    <t>column e.is_pf_applicable does not exist -error while review F &amp; F Settlements-http://localhost:3001/en/hr/separation/fnf</t>
  </si>
  <si>
    <t>Inventory</t>
  </si>
  <si>
    <t xml:space="preserve">Material Request </t>
  </si>
  <si>
    <t>UI/UX testing, Logical testing, Data accuracy testing</t>
  </si>
  <si>
    <t>Material Issues</t>
  </si>
  <si>
    <t>Material Issue Reports</t>
  </si>
  <si>
    <t>Material Returns</t>
  </si>
  <si>
    <t>Stock Transactions &gt; Finished Goods Entry</t>
  </si>
  <si>
    <t>SO-001</t>
  </si>
  <si>
    <t>Sales Order &gt; order list</t>
  </si>
  <si>
    <t>SO-002</t>
  </si>
  <si>
    <t>Sales Order &gt; Dispatch Orders</t>
  </si>
  <si>
    <t>SO-003</t>
  </si>
  <si>
    <t>Invocing</t>
  </si>
  <si>
    <t>HR management</t>
  </si>
  <si>
    <t>Separation Dashboard</t>
  </si>
  <si>
    <t>Initiate Separation button not requried in Separation Dashboard</t>
  </si>
  <si>
    <t>UI/UX testing</t>
  </si>
  <si>
    <t>Full &amp; Final Settlement</t>
  </si>
  <si>
    <t>Full &amp; Final Settlement Detail while calucalting total debits is zero</t>
  </si>
  <si>
    <t>open</t>
  </si>
  <si>
    <t>HR-SE-003</t>
  </si>
  <si>
    <t>Full &amp; Final Settlement Detail i have edited Advance recovery now credits and everything is zero</t>
  </si>
  <si>
    <t>HR-SE-004</t>
  </si>
  <si>
    <t xml:space="preserve">while viewing the payslip this error comes column sr.notice_shortfall_deduction does not exist
</t>
  </si>
  <si>
    <t>HR-SE-005</t>
  </si>
  <si>
    <t xml:space="preserve">Exit Interview </t>
  </si>
  <si>
    <t>Conduct Interview Satisfaction Ratings toggles button is not visable both in dark and light mode</t>
  </si>
  <si>
    <t>HR-SE-006</t>
  </si>
  <si>
    <t>gratuity  button -Dashboard Error</t>
  </si>
  <si>
    <t>HR-SE-007</t>
  </si>
  <si>
    <t>Separation Documents</t>
  </si>
  <si>
    <t xml:space="preserve">while genrating document PDF generation service not yet implemented
</t>
  </si>
  <si>
    <t>UI/UX testing, Logical testing</t>
  </si>
  <si>
    <t xml:space="preserve">In sales invoices , click  " ⋮ " </t>
  </si>
  <si>
    <t>SD-INV-001</t>
  </si>
  <si>
    <t>Theme Issue in the sales invoices</t>
  </si>
  <si>
    <t>In sales invoices ,generate from SO ,the text are not visible in the dark theme</t>
  </si>
  <si>
    <t>SD-INV-002</t>
  </si>
  <si>
    <t xml:space="preserve">sales &amp; Distribution
</t>
  </si>
  <si>
    <t>Line item 1: HSN code 2833 not found in current schedule</t>
  </si>
  <si>
    <t>In sales invoices ,creating new invoices i have tried to create invoice but I cant and it shows the error message</t>
  </si>
  <si>
    <t>SD-INV-003</t>
  </si>
  <si>
    <t>In sales invoices ,after you click the more option menu  and click "Submit for approval" .In there text are not visible in the dark theme</t>
  </si>
  <si>
    <t>SD-INV-004</t>
  </si>
  <si>
    <t>new row for relation "invoices" violates check constraint "chk_invoice_grand_total"</t>
  </si>
  <si>
    <t xml:space="preserve">In sales invoices ,after you click the more option menu  and click "Duplicate" then if u save draft the error message it shows is not user friendly </t>
  </si>
  <si>
    <t>SD-INV-005</t>
  </si>
  <si>
    <t>Content in PDF are not visible</t>
  </si>
  <si>
    <t xml:space="preserve">In sales invoices ,click more option menu and click "preview pdf" and in that if you click download pdf and if you view it the content in the pdf is so small </t>
  </si>
  <si>
    <t>SD-INV-006</t>
  </si>
  <si>
    <t>theme Issue in the sales invoices</t>
  </si>
  <si>
    <t>In sales invoices , click  " ⋮ "  and click cancel invoice ,the content in that form is not visible in the dark theme</t>
  </si>
  <si>
    <t>SD-INV-007</t>
  </si>
  <si>
    <t xml:space="preserve">In sales invoices , click  " ⋮ "  and click void invoice ,the content are not visible in the dark theme </t>
  </si>
  <si>
    <t>SD-INV-008</t>
  </si>
  <si>
    <t>In sales invoices , click  " ⋮ "  and click record payment ,the content are not visible in the dark theme</t>
  </si>
  <si>
    <t>SD-INV-009</t>
  </si>
  <si>
    <t>Error message "Action failed. Please try again."</t>
  </si>
  <si>
    <t xml:space="preserve">In sales invoices , click  " ⋮ "  and click generate e-invoice ,i cant generate and i  tried differnt orders also same error message </t>
  </si>
  <si>
    <t>Sprint</t>
  </si>
  <si>
    <t>Start Date</t>
  </si>
  <si>
    <t>End Date</t>
  </si>
  <si>
    <t>Planned Stories</t>
  </si>
  <si>
    <t>Completed Stories</t>
  </si>
  <si>
    <t>Velocity %</t>
  </si>
  <si>
    <t>Sprint Status</t>
  </si>
  <si>
    <t>Metric</t>
  </si>
  <si>
    <t>Value</t>
  </si>
  <si>
    <t>Total Requirements</t>
  </si>
  <si>
    <t>Open Requirements</t>
  </si>
  <si>
    <t>Total Issues</t>
  </si>
  <si>
    <t>Open Issues</t>
  </si>
  <si>
    <t>Overdue RAID Items</t>
  </si>
  <si>
    <t>Average Sprint Velocity</t>
  </si>
  <si>
    <t>ID</t>
  </si>
  <si>
    <t>Customer</t>
  </si>
  <si>
    <t>Product</t>
  </si>
  <si>
    <t>NR Agarwal</t>
  </si>
  <si>
    <t>Optrim Web</t>
  </si>
  <si>
    <t>2FA feature in Optrim login</t>
  </si>
  <si>
    <t>Inprogress</t>
  </si>
  <si>
    <t>Prabahar</t>
  </si>
  <si>
    <t>Should able to support AWS and on-premise hosting</t>
  </si>
  <si>
    <t>KAPA Papaer  - SriLanka</t>
  </si>
  <si>
    <t>Trial Initiated</t>
  </si>
  <si>
    <t>Netique</t>
  </si>
  <si>
    <t>Completed</t>
  </si>
  <si>
    <t xml:space="preserve">Mr.Subbiah </t>
  </si>
  <si>
    <t xml:space="preserve">Health Tracker </t>
  </si>
  <si>
    <t>Deploy in server</t>
  </si>
  <si>
    <t xml:space="preserve">need to host tunnel </t>
  </si>
  <si>
    <t>Lemit Paper Mill</t>
  </si>
  <si>
    <t>BPApp version 0.1</t>
  </si>
  <si>
    <t xml:space="preserve">Rewinder Process- Produced Set was missing </t>
  </si>
  <si>
    <t>Piyush</t>
  </si>
  <si>
    <t>Type</t>
  </si>
  <si>
    <t xml:space="preserve">Procurement &gt; Supplier Quotations </t>
  </si>
  <si>
    <t>Procurement &gt; Purchase Requisitions</t>
  </si>
  <si>
    <t>sales &amp; Distribution &gt;invoicing</t>
  </si>
  <si>
    <t xml:space="preserve">Sales &gt; Sales Orders &gt; List </t>
  </si>
  <si>
    <t>Procurement &gt; Purchase Orders</t>
  </si>
  <si>
    <t>Master Data &gt; Supplier Master</t>
  </si>
  <si>
    <t>Production &gt; Material Requisitions</t>
  </si>
  <si>
    <t>Inventory &gt; Material Requests</t>
  </si>
  <si>
    <t>Master Data &gt; Business Partners</t>
  </si>
  <si>
    <t>Procurement &gt; Supplier Quotations</t>
  </si>
  <si>
    <t xml:space="preserve">Inventory &gt; Material Requests </t>
  </si>
  <si>
    <t xml:space="preserve"> Shift Roster</t>
  </si>
  <si>
    <t>Sales &gt; Sales Orders</t>
  </si>
  <si>
    <t>Sales &amp; Distribution</t>
  </si>
  <si>
    <t>Sales &amp; Distribution &gt;invoicing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</si>
</sst>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0" x14ac:knownFonts="1">
    <font>
      <sz val="11"/>
      <color theme="1"/>
      <name val="Calibri"/>
      <family val="2"/>
      <scheme val="minor"/>
    </font>
    <font>
      <b/>
      <sz val="11"/>
      <name val="Calibri"/>
    </font>
    <font>
      <b/>
      <sz val="9"/>
      <color rgb="FF1F3864"/>
      <name val="Calibri"/>
    </font>
    <font>
      <i/>
      <sz val="9"/>
      <color rgb="FF404040"/>
      <name val="Calibri"/>
    </font>
    <font>
      <sz val="9"/>
      <color rgb="FF000000"/>
      <name val="Calibri"/>
    </font>
    <font>
      <b/>
      <sz val="9"/>
      <color rgb="FFC00000"/>
      <name val="Calibri"/>
    </font>
    <font>
      <sz val="8"/>
      <color rgb="FF606060"/>
      <name val="Calibri"/>
    </font>
    <font>
      <b/>
      <sz val="9"/>
      <color rgb="FFC06000"/>
      <name val="Calibri"/>
    </font>
    <font>
      <b/>
      <sz val="9"/>
      <color rgb="FF375623"/>
      <name val="Calibri"/>
    </font>
    <font>
      <b/>
      <sz val="11"/>
      <color theme="1"/>
      <name val="Calibri"/>
      <family val="2"/>
      <scheme val="minor"/>
    </font>
    <font>
      <sz val="11"/>
      <color rgb="FF000000"/>
      <name val="Calibri"/>
      <family val="2"/>
    </font>
    <font>
      <sz val="11"/>
      <color rgb="FF000000"/>
      <name val="Calibri"/>
    </font>
    <font>
      <sz val="10"/>
      <color rgb="FF1C2833"/>
      <name val="Calibri"/>
    </font>
    <font>
      <sz val="10"/>
      <color theme="1"/>
      <name val="Calibri"/>
    </font>
    <font>
      <sz val="11"/>
      <color rgb="FF242424"/>
      <name val="Aptos Narrow"/>
      <charset val="1"/>
    </font>
    <font>
      <sz val="11"/>
      <color rgb="FF000000"/>
      <name val="Calibri"/>
      <charset val="1"/>
    </font>
    <font>
      <sz val="11"/>
      <color rgb="FF000000"/>
      <name val="Aptos Narrow"/>
    </font>
    <font>
      <sz val="10"/>
      <name val="Calibri"/>
    </font>
    <font>
      <sz val="10"/>
      <color rgb="FF000000"/>
      <name val="Calibri"/>
    </font>
    <font>
      <sz val="11"/>
      <color rgb="FF000000"/>
      <name val="Calibri"/>
      <family val="2"/>
      <scheme val="minor"/>
    </font>
  </fonts>
  <fills count="6">
    <fill>
      <patternFill patternType="none"/>
    </fill>
    <fill>
      <patternFill patternType="gray125"/>
    </fill>
    <fill>
      <patternFill patternType="solid">
        <fgColor rgb="FFDEEAF1"/>
        <bgColor rgb="FF000000"/>
      </patternFill>
    </fill>
    <fill>
      <patternFill patternType="solid">
        <fgColor rgb="FFFFFFFF"/>
        <bgColor rgb="FF000000"/>
      </patternFill>
    </fill>
    <fill>
      <patternFill patternType="solid">
        <fgColor rgb="FFF0F4FA"/>
        <bgColor rgb="FF000000"/>
      </patternFill>
    </fill>
    <fill>
      <patternFill patternType="solid">
        <fgColor theme="0"/>
        <bgColor indexed="64"/>
      </patternFill>
    </fill>
  </fills>
  <borders count="12">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3">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xf>
    <xf numFmtId="0" fontId="9" fillId="0" borderId="0" xfId="0" applyFont="1" applyAlignment="1">
      <alignment horizontal="left" vertical="top"/>
    </xf>
    <xf numFmtId="0" fontId="10" fillId="0" borderId="0" xfId="0" applyFont="1" applyAlignment="1">
      <alignment horizontal="left" vertical="top" wrapText="1"/>
    </xf>
    <xf numFmtId="0" fontId="10" fillId="0" borderId="0" xfId="0" applyFont="1" applyAlignment="1">
      <alignment horizontal="left" vertical="top"/>
    </xf>
    <xf numFmtId="15" fontId="10" fillId="0" borderId="0" xfId="0" applyNumberFormat="1" applyFont="1" applyAlignment="1">
      <alignment horizontal="left" vertical="top"/>
    </xf>
    <xf numFmtId="0" fontId="0" fillId="0" borderId="0" xfId="0" applyAlignment="1">
      <alignment horizontal="left" vertical="top" wrapText="1"/>
    </xf>
    <xf numFmtId="14" fontId="10" fillId="0" borderId="0" xfId="0" applyNumberFormat="1" applyFont="1" applyAlignment="1">
      <alignment horizontal="left" vertical="top"/>
    </xf>
    <xf numFmtId="0" fontId="1" fillId="0" borderId="0" xfId="0" applyFont="1" applyAlignment="1">
      <alignment horizontal="left" vertical="center"/>
    </xf>
    <xf numFmtId="0" fontId="1" fillId="0" borderId="0" xfId="0" applyFont="1" applyAlignment="1">
      <alignment horizontal="right"/>
    </xf>
    <xf numFmtId="0" fontId="11" fillId="0" borderId="0" xfId="0" applyFont="1" applyAlignment="1">
      <alignment vertical="top" wrapText="1"/>
    </xf>
    <xf numFmtId="0" fontId="11" fillId="0" borderId="0" xfId="0" applyFont="1" applyAlignment="1">
      <alignment vertical="top"/>
    </xf>
    <xf numFmtId="14" fontId="11" fillId="0" borderId="0" xfId="0" applyNumberFormat="1" applyFont="1" applyAlignment="1">
      <alignment vertical="top"/>
    </xf>
    <xf numFmtId="15" fontId="0" fillId="0" borderId="0" xfId="0" applyNumberFormat="1"/>
    <xf numFmtId="0" fontId="9" fillId="0" borderId="0" xfId="0" applyFont="1"/>
    <xf numFmtId="0" fontId="0" fillId="0" borderId="0" xfId="0" applyAlignment="1">
      <alignment wrapText="1"/>
    </xf>
    <xf numFmtId="0" fontId="13" fillId="5" borderId="5" xfId="0" applyFont="1" applyFill="1" applyBorder="1" applyAlignment="1">
      <alignment wrapText="1"/>
    </xf>
    <xf numFmtId="0" fontId="13" fillId="5" borderId="6" xfId="0" applyFont="1" applyFill="1" applyBorder="1" applyAlignment="1">
      <alignment wrapText="1"/>
    </xf>
    <xf numFmtId="0" fontId="13" fillId="5" borderId="6" xfId="0" quotePrefix="1" applyFont="1" applyFill="1" applyBorder="1" applyAlignment="1">
      <alignment wrapText="1"/>
    </xf>
    <xf numFmtId="0" fontId="12" fillId="5" borderId="5" xfId="0" applyFont="1" applyFill="1" applyBorder="1" applyAlignment="1">
      <alignment wrapText="1"/>
    </xf>
    <xf numFmtId="0" fontId="12" fillId="5" borderId="6" xfId="0" applyFont="1" applyFill="1" applyBorder="1" applyAlignment="1">
      <alignment wrapText="1"/>
    </xf>
    <xf numFmtId="0" fontId="14" fillId="0" borderId="0" xfId="0" applyFont="1"/>
    <xf numFmtId="164" fontId="1" fillId="0" borderId="0" xfId="0" applyNumberFormat="1" applyFont="1" applyAlignment="1">
      <alignment horizontal="right"/>
    </xf>
    <xf numFmtId="164" fontId="0" fillId="0" borderId="0" xfId="0" applyNumberFormat="1"/>
    <xf numFmtId="0" fontId="0" fillId="0" borderId="0" xfId="0" applyAlignment="1">
      <alignment vertical="center"/>
    </xf>
    <xf numFmtId="0" fontId="13" fillId="5" borderId="0" xfId="0" applyFont="1" applyFill="1" applyAlignment="1">
      <alignment wrapText="1"/>
    </xf>
    <xf numFmtId="0" fontId="11" fillId="0" borderId="0" xfId="0" applyFont="1" applyAlignment="1">
      <alignment horizontal="left" vertical="top" wrapText="1"/>
    </xf>
    <xf numFmtId="0" fontId="0" fillId="0" borderId="0" xfId="0" applyAlignment="1">
      <alignment vertical="center" wrapText="1"/>
    </xf>
    <xf numFmtId="15" fontId="0" fillId="0" borderId="0" xfId="0" applyNumberFormat="1" applyAlignment="1">
      <alignment vertical="center"/>
    </xf>
    <xf numFmtId="0" fontId="12" fillId="5" borderId="0" xfId="0" applyFont="1" applyFill="1" applyAlignment="1">
      <alignment horizontal="left" wrapText="1"/>
    </xf>
    <xf numFmtId="15" fontId="10" fillId="0" borderId="0" xfId="0" applyNumberFormat="1" applyFont="1" applyAlignment="1">
      <alignment horizontal="right" vertical="top" wrapText="1"/>
    </xf>
    <xf numFmtId="15" fontId="10" fillId="0" borderId="0" xfId="0" applyNumberFormat="1" applyFont="1" applyAlignment="1">
      <alignment horizontal="left" vertical="top" wrapText="1"/>
    </xf>
    <xf numFmtId="0" fontId="0" fillId="0" borderId="0" xfId="0" applyAlignment="1">
      <alignment horizontal="right" vertical="top" wrapText="1"/>
    </xf>
    <xf numFmtId="15" fontId="11" fillId="0" borderId="0" xfId="0" applyNumberFormat="1" applyFont="1" applyAlignment="1">
      <alignment horizontal="right" vertical="top" wrapText="1"/>
    </xf>
    <xf numFmtId="0" fontId="0" fillId="0" borderId="0" xfId="0" applyAlignment="1">
      <alignment vertical="top" wrapText="1"/>
    </xf>
    <xf numFmtId="22" fontId="11" fillId="0" borderId="0" xfId="0" applyNumberFormat="1" applyFont="1" applyAlignment="1">
      <alignment vertical="top" wrapText="1"/>
    </xf>
    <xf numFmtId="0" fontId="1" fillId="0" borderId="0" xfId="0" applyFont="1" applyAlignment="1">
      <alignment horizontal="center" vertical="top" wrapText="1"/>
    </xf>
    <xf numFmtId="0" fontId="1" fillId="0" borderId="0" xfId="0" applyFont="1" applyAlignment="1">
      <alignment horizontal="right" vertical="top" wrapText="1"/>
    </xf>
    <xf numFmtId="0" fontId="2" fillId="2" borderId="1" xfId="0" applyFont="1" applyFill="1" applyBorder="1" applyAlignment="1">
      <alignment vertical="top" wrapText="1"/>
    </xf>
    <xf numFmtId="0" fontId="2" fillId="2" borderId="2" xfId="0" applyFont="1" applyFill="1" applyBorder="1" applyAlignment="1">
      <alignment horizontal="left" vertical="top" wrapText="1"/>
    </xf>
    <xf numFmtId="0" fontId="2" fillId="2" borderId="2" xfId="0" applyFont="1" applyFill="1" applyBorder="1" applyAlignment="1">
      <alignment vertical="top" wrapText="1"/>
    </xf>
    <xf numFmtId="0" fontId="2" fillId="2" borderId="2" xfId="0" applyFont="1" applyFill="1" applyBorder="1" applyAlignment="1">
      <alignment horizontal="right" vertical="top" wrapText="1"/>
    </xf>
    <xf numFmtId="0" fontId="2" fillId="3" borderId="3" xfId="0" applyFont="1" applyFill="1" applyBorder="1" applyAlignment="1">
      <alignment vertical="top" wrapText="1"/>
    </xf>
    <xf numFmtId="0" fontId="3" fillId="3" borderId="4" xfId="0" applyFont="1" applyFill="1" applyBorder="1" applyAlignment="1">
      <alignment horizontal="left" vertical="top" wrapText="1"/>
    </xf>
    <xf numFmtId="0" fontId="4" fillId="3" borderId="4" xfId="0" applyFont="1" applyFill="1" applyBorder="1" applyAlignment="1">
      <alignment vertical="top" wrapText="1"/>
    </xf>
    <xf numFmtId="0" fontId="5" fillId="3" borderId="4" xfId="0" applyFont="1" applyFill="1" applyBorder="1" applyAlignment="1">
      <alignment vertical="top" wrapText="1"/>
    </xf>
    <xf numFmtId="15" fontId="4" fillId="3" borderId="4" xfId="0" applyNumberFormat="1" applyFont="1" applyFill="1" applyBorder="1" applyAlignment="1">
      <alignment horizontal="right" vertical="top" wrapText="1"/>
    </xf>
    <xf numFmtId="0" fontId="6" fillId="3" borderId="4" xfId="0" applyFont="1" applyFill="1" applyBorder="1" applyAlignment="1">
      <alignment vertical="top" wrapText="1"/>
    </xf>
    <xf numFmtId="0" fontId="2" fillId="4" borderId="3" xfId="0" applyFont="1" applyFill="1" applyBorder="1" applyAlignment="1">
      <alignment vertical="top" wrapText="1"/>
    </xf>
    <xf numFmtId="0" fontId="3" fillId="4" borderId="4" xfId="0" applyFont="1" applyFill="1" applyBorder="1" applyAlignment="1">
      <alignment horizontal="left" vertical="top" wrapText="1"/>
    </xf>
    <xf numFmtId="0" fontId="4" fillId="4" borderId="4" xfId="0" applyFont="1" applyFill="1" applyBorder="1" applyAlignment="1">
      <alignment vertical="top" wrapText="1"/>
    </xf>
    <xf numFmtId="0" fontId="5" fillId="4" borderId="4" xfId="0" applyFont="1" applyFill="1" applyBorder="1" applyAlignment="1">
      <alignment vertical="top" wrapText="1"/>
    </xf>
    <xf numFmtId="15" fontId="4" fillId="4" borderId="4" xfId="0" applyNumberFormat="1" applyFont="1" applyFill="1" applyBorder="1" applyAlignment="1">
      <alignment horizontal="right" vertical="top" wrapText="1"/>
    </xf>
    <xf numFmtId="0" fontId="6" fillId="4" borderId="4" xfId="0" applyFont="1" applyFill="1" applyBorder="1" applyAlignment="1">
      <alignment vertical="top" wrapText="1"/>
    </xf>
    <xf numFmtId="0" fontId="7" fillId="3" borderId="4" xfId="0" applyFont="1" applyFill="1" applyBorder="1" applyAlignment="1">
      <alignment vertical="top" wrapText="1"/>
    </xf>
    <xf numFmtId="0" fontId="2" fillId="2" borderId="3" xfId="0" applyFont="1" applyFill="1" applyBorder="1" applyAlignment="1">
      <alignment vertical="top" wrapText="1"/>
    </xf>
    <xf numFmtId="0" fontId="2" fillId="2" borderId="4" xfId="0" applyFont="1" applyFill="1" applyBorder="1" applyAlignment="1">
      <alignment horizontal="left" vertical="top" wrapText="1"/>
    </xf>
    <xf numFmtId="0" fontId="2" fillId="2" borderId="4" xfId="0" applyFont="1" applyFill="1" applyBorder="1" applyAlignment="1">
      <alignment vertical="top" wrapText="1"/>
    </xf>
    <xf numFmtId="0" fontId="2" fillId="2" borderId="4" xfId="0" applyFont="1" applyFill="1" applyBorder="1" applyAlignment="1">
      <alignment horizontal="right" vertical="top" wrapText="1"/>
    </xf>
    <xf numFmtId="0" fontId="7" fillId="4" borderId="4" xfId="0" applyFont="1" applyFill="1" applyBorder="1" applyAlignment="1">
      <alignment vertical="top" wrapText="1"/>
    </xf>
    <xf numFmtId="0" fontId="8" fillId="3" borderId="4" xfId="0" applyFont="1" applyFill="1" applyBorder="1" applyAlignment="1">
      <alignment vertical="top" wrapText="1"/>
    </xf>
    <xf numFmtId="0" fontId="8" fillId="4" borderId="4" xfId="0" applyFont="1" applyFill="1" applyBorder="1" applyAlignment="1">
      <alignment vertical="top" wrapText="1"/>
    </xf>
    <xf numFmtId="0" fontId="10" fillId="0" borderId="0" xfId="0" applyFont="1" applyAlignment="1">
      <alignment vertical="top" wrapText="1"/>
    </xf>
    <xf numFmtId="15" fontId="10" fillId="0" borderId="0" xfId="0" applyNumberFormat="1" applyFont="1" applyAlignment="1">
      <alignment vertical="top" wrapText="1"/>
    </xf>
    <xf numFmtId="0" fontId="14" fillId="0" borderId="0" xfId="0" applyFont="1" applyAlignment="1">
      <alignment vertical="top" wrapText="1"/>
    </xf>
    <xf numFmtId="0" fontId="11" fillId="0" borderId="0" xfId="0" applyFont="1"/>
    <xf numFmtId="14" fontId="11" fillId="0" borderId="0" xfId="0" applyNumberFormat="1" applyFont="1"/>
    <xf numFmtId="0" fontId="11" fillId="0" borderId="0" xfId="0" applyFont="1" applyAlignment="1">
      <alignment wrapText="1"/>
    </xf>
    <xf numFmtId="0" fontId="0" fillId="0" borderId="0" xfId="0" applyAlignment="1">
      <alignment vertical="top"/>
    </xf>
    <xf numFmtId="164" fontId="0" fillId="0" borderId="0" xfId="0" applyNumberFormat="1" applyAlignment="1">
      <alignment vertical="top"/>
    </xf>
    <xf numFmtId="15" fontId="0" fillId="0" borderId="0" xfId="0" applyNumberFormat="1" applyAlignment="1">
      <alignment horizontal="left" vertical="top"/>
    </xf>
    <xf numFmtId="14" fontId="15" fillId="0" borderId="0" xfId="0" applyNumberFormat="1" applyFont="1"/>
    <xf numFmtId="15" fontId="0" fillId="0" borderId="0" xfId="0" applyNumberFormat="1" applyAlignment="1">
      <alignment horizontal="right" vertical="top" wrapText="1"/>
    </xf>
    <xf numFmtId="0" fontId="15" fillId="0" borderId="0" xfId="0" applyFont="1" applyAlignment="1">
      <alignment wrapText="1"/>
    </xf>
    <xf numFmtId="0" fontId="16" fillId="0" borderId="0" xfId="0" applyFont="1"/>
    <xf numFmtId="0" fontId="11" fillId="5" borderId="0" xfId="0" applyFont="1" applyFill="1" applyAlignment="1">
      <alignment vertical="top" wrapText="1"/>
    </xf>
    <xf numFmtId="0" fontId="11" fillId="5" borderId="0" xfId="0" applyFont="1" applyFill="1" applyAlignment="1">
      <alignment vertical="top"/>
    </xf>
    <xf numFmtId="16" fontId="0" fillId="0" borderId="0" xfId="0" applyNumberFormat="1"/>
    <xf numFmtId="0" fontId="17" fillId="5" borderId="11" xfId="0" applyFont="1" applyFill="1" applyBorder="1" applyAlignment="1">
      <alignment wrapText="1"/>
    </xf>
    <xf numFmtId="0" fontId="13" fillId="5" borderId="11" xfId="0" applyFont="1" applyFill="1" applyBorder="1" applyAlignment="1">
      <alignment wrapText="1"/>
    </xf>
    <xf numFmtId="15" fontId="17" fillId="5" borderId="11" xfId="0" applyNumberFormat="1" applyFont="1" applyFill="1" applyBorder="1" applyAlignment="1">
      <alignment wrapText="1"/>
    </xf>
    <xf numFmtId="0" fontId="0" fillId="5" borderId="11" xfId="0" applyFill="1" applyBorder="1" applyAlignment="1">
      <alignment vertical="top" wrapText="1"/>
    </xf>
    <xf numFmtId="0" fontId="18" fillId="5" borderId="7" xfId="0" applyFont="1" applyFill="1" applyBorder="1" applyAlignment="1">
      <alignment wrapText="1"/>
    </xf>
    <xf numFmtId="0" fontId="18" fillId="5" borderId="8" xfId="0" applyFont="1" applyFill="1" applyBorder="1" applyAlignment="1">
      <alignment wrapText="1"/>
    </xf>
    <xf numFmtId="15" fontId="18" fillId="5" borderId="8" xfId="0" applyNumberFormat="1" applyFont="1" applyFill="1" applyBorder="1" applyAlignment="1">
      <alignment wrapText="1"/>
    </xf>
    <xf numFmtId="0" fontId="19" fillId="5" borderId="11" xfId="0" applyFont="1" applyFill="1" applyBorder="1" applyAlignment="1">
      <alignment vertical="top" wrapText="1"/>
    </xf>
    <xf numFmtId="0" fontId="18" fillId="5" borderId="9" xfId="0" applyFont="1" applyFill="1" applyBorder="1" applyAlignment="1">
      <alignment wrapText="1"/>
    </xf>
    <xf numFmtId="0" fontId="18" fillId="5" borderId="10" xfId="0" applyFont="1" applyFill="1" applyBorder="1" applyAlignment="1">
      <alignment wrapText="1"/>
    </xf>
    <xf numFmtId="15" fontId="18" fillId="5" borderId="10" xfId="0" applyNumberFormat="1"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
  <sheetViews>
    <sheetView topLeftCell="A79" workbookViewId="0">
      <selection activeCell="B60" sqref="B60"/>
    </sheetView>
  </sheetViews>
  <sheetFormatPr defaultColWidth="9.109375" defaultRowHeight="14.4" x14ac:dyDescent="0.3"/>
  <cols>
    <col min="1" max="1" width="10.109375" style="38" customWidth="1"/>
    <col min="2" max="2" width="32.88671875" style="10" customWidth="1"/>
    <col min="3" max="3" width="83.44140625" style="38" customWidth="1"/>
    <col min="4" max="4" width="18" style="38" customWidth="1"/>
    <col min="5" max="5" width="10.6640625" style="38" customWidth="1"/>
    <col min="6" max="6" width="9.88671875" style="38" customWidth="1"/>
    <col min="7" max="7" width="16.5546875" style="38" customWidth="1"/>
    <col min="8" max="8" width="11" style="36" customWidth="1"/>
    <col min="9" max="9" width="13.33203125" style="36" customWidth="1"/>
    <col min="10" max="10" width="22" style="38" customWidth="1"/>
    <col min="11" max="11" width="49.88671875" style="38" customWidth="1"/>
    <col min="12" max="16384" width="9.109375" style="38"/>
  </cols>
  <sheetData>
    <row r="1" spans="1:11" ht="28.8" x14ac:dyDescent="0.3">
      <c r="A1" s="40" t="s">
        <v>0</v>
      </c>
      <c r="B1" s="4" t="s">
        <v>1</v>
      </c>
      <c r="C1" s="40" t="s">
        <v>2</v>
      </c>
      <c r="D1" s="40" t="s">
        <v>3</v>
      </c>
      <c r="E1" s="40" t="s">
        <v>4</v>
      </c>
      <c r="F1" s="40" t="s">
        <v>5</v>
      </c>
      <c r="G1" s="40" t="s">
        <v>6</v>
      </c>
      <c r="H1" s="41" t="s">
        <v>7</v>
      </c>
      <c r="I1" s="41" t="s">
        <v>8</v>
      </c>
      <c r="J1" s="40" t="s">
        <v>9</v>
      </c>
      <c r="K1" s="40" t="s">
        <v>10</v>
      </c>
    </row>
    <row r="2" spans="1:11" x14ac:dyDescent="0.3">
      <c r="A2" s="42" t="s">
        <v>11</v>
      </c>
      <c r="B2" s="43" t="s">
        <v>11</v>
      </c>
      <c r="C2" s="44" t="s">
        <v>12</v>
      </c>
      <c r="D2" s="44" t="s">
        <v>11</v>
      </c>
      <c r="E2" s="44" t="s">
        <v>11</v>
      </c>
      <c r="F2" s="44" t="s">
        <v>11</v>
      </c>
      <c r="G2" s="44" t="s">
        <v>11</v>
      </c>
      <c r="H2" s="45" t="s">
        <v>11</v>
      </c>
      <c r="I2" s="45" t="s">
        <v>11</v>
      </c>
      <c r="J2" s="44" t="s">
        <v>11</v>
      </c>
      <c r="K2" s="44" t="s">
        <v>11</v>
      </c>
    </row>
    <row r="3" spans="1:11" ht="33.75" customHeight="1" x14ac:dyDescent="0.3">
      <c r="A3" s="46" t="s">
        <v>13</v>
      </c>
      <c r="B3" s="47" t="s">
        <v>14</v>
      </c>
      <c r="C3" s="48" t="s">
        <v>15</v>
      </c>
      <c r="D3" s="48" t="s">
        <v>16</v>
      </c>
      <c r="E3" s="49" t="s">
        <v>17</v>
      </c>
      <c r="F3" s="49" t="s">
        <v>18</v>
      </c>
      <c r="G3" s="48" t="s">
        <v>19</v>
      </c>
      <c r="H3" s="50">
        <v>46184</v>
      </c>
      <c r="I3" s="50">
        <v>46186</v>
      </c>
      <c r="J3" s="48" t="s">
        <v>11</v>
      </c>
      <c r="K3" s="51" t="s">
        <v>20</v>
      </c>
    </row>
    <row r="4" spans="1:11" ht="24" x14ac:dyDescent="0.3">
      <c r="A4" s="52" t="s">
        <v>21</v>
      </c>
      <c r="B4" s="53" t="s">
        <v>22</v>
      </c>
      <c r="C4" s="54" t="s">
        <v>23</v>
      </c>
      <c r="D4" s="54" t="s">
        <v>16</v>
      </c>
      <c r="E4" s="55" t="s">
        <v>17</v>
      </c>
      <c r="F4" s="49" t="s">
        <v>18</v>
      </c>
      <c r="G4" s="54" t="s">
        <v>19</v>
      </c>
      <c r="H4" s="56">
        <v>46184</v>
      </c>
      <c r="I4" s="56">
        <v>46186</v>
      </c>
      <c r="J4" s="54" t="s">
        <v>11</v>
      </c>
      <c r="K4" s="57" t="s">
        <v>24</v>
      </c>
    </row>
    <row r="5" spans="1:11" ht="20.399999999999999" x14ac:dyDescent="0.3">
      <c r="A5" s="46" t="s">
        <v>25</v>
      </c>
      <c r="B5" s="47" t="s">
        <v>14</v>
      </c>
      <c r="C5" s="48" t="s">
        <v>26</v>
      </c>
      <c r="D5" s="48" t="s">
        <v>16</v>
      </c>
      <c r="E5" s="49" t="s">
        <v>17</v>
      </c>
      <c r="F5" s="49" t="s">
        <v>18</v>
      </c>
      <c r="G5" s="48" t="s">
        <v>19</v>
      </c>
      <c r="H5" s="50">
        <v>46184</v>
      </c>
      <c r="I5" s="50">
        <v>46186</v>
      </c>
      <c r="J5" s="48" t="s">
        <v>11</v>
      </c>
      <c r="K5" s="51" t="s">
        <v>27</v>
      </c>
    </row>
    <row r="6" spans="1:11" ht="24" x14ac:dyDescent="0.3">
      <c r="A6" s="52" t="s">
        <v>28</v>
      </c>
      <c r="B6" s="53" t="s">
        <v>29</v>
      </c>
      <c r="C6" s="54" t="s">
        <v>30</v>
      </c>
      <c r="D6" s="54" t="s">
        <v>16</v>
      </c>
      <c r="E6" s="55" t="s">
        <v>17</v>
      </c>
      <c r="F6" s="49" t="s">
        <v>18</v>
      </c>
      <c r="G6" s="54" t="s">
        <v>19</v>
      </c>
      <c r="H6" s="56">
        <v>46184</v>
      </c>
      <c r="I6" s="56">
        <v>46186</v>
      </c>
      <c r="J6" s="54" t="s">
        <v>11</v>
      </c>
      <c r="K6" s="57" t="s">
        <v>31</v>
      </c>
    </row>
    <row r="7" spans="1:11" x14ac:dyDescent="0.3">
      <c r="A7" s="46" t="s">
        <v>32</v>
      </c>
      <c r="B7" s="47" t="s">
        <v>14</v>
      </c>
      <c r="C7" s="48" t="s">
        <v>33</v>
      </c>
      <c r="D7" s="48" t="s">
        <v>16</v>
      </c>
      <c r="E7" s="58" t="s">
        <v>34</v>
      </c>
      <c r="F7" s="49" t="s">
        <v>18</v>
      </c>
      <c r="G7" s="48" t="s">
        <v>19</v>
      </c>
      <c r="H7" s="50">
        <v>46184</v>
      </c>
      <c r="I7" s="50">
        <v>46186</v>
      </c>
      <c r="J7" s="48" t="s">
        <v>11</v>
      </c>
      <c r="K7" s="51" t="s">
        <v>35</v>
      </c>
    </row>
    <row r="8" spans="1:11" x14ac:dyDescent="0.3">
      <c r="A8" s="59" t="s">
        <v>11</v>
      </c>
      <c r="B8" s="60" t="s">
        <v>11</v>
      </c>
      <c r="C8" s="61" t="s">
        <v>36</v>
      </c>
      <c r="D8" s="61" t="s">
        <v>11</v>
      </c>
      <c r="E8" s="61" t="s">
        <v>11</v>
      </c>
      <c r="F8" s="61" t="s">
        <v>11</v>
      </c>
      <c r="G8" s="61" t="s">
        <v>11</v>
      </c>
      <c r="H8" s="62" t="s">
        <v>11</v>
      </c>
      <c r="I8" s="56"/>
      <c r="J8" s="61" t="s">
        <v>11</v>
      </c>
      <c r="K8" s="61" t="s">
        <v>11</v>
      </c>
    </row>
    <row r="9" spans="1:11" ht="28.5" customHeight="1" x14ac:dyDescent="0.3">
      <c r="A9" s="52" t="s">
        <v>37</v>
      </c>
      <c r="B9" s="53" t="s">
        <v>38</v>
      </c>
      <c r="C9" s="54" t="s">
        <v>39</v>
      </c>
      <c r="D9" s="54" t="s">
        <v>16</v>
      </c>
      <c r="E9" s="55" t="s">
        <v>17</v>
      </c>
      <c r="F9" s="55" t="s">
        <v>18</v>
      </c>
      <c r="G9" s="54" t="s">
        <v>19</v>
      </c>
      <c r="H9" s="56">
        <v>46184</v>
      </c>
      <c r="I9" s="50">
        <v>46186</v>
      </c>
      <c r="J9" s="54" t="s">
        <v>11</v>
      </c>
      <c r="K9" s="57" t="s">
        <v>40</v>
      </c>
    </row>
    <row r="10" spans="1:11" ht="24" x14ac:dyDescent="0.3">
      <c r="A10" s="46" t="s">
        <v>41</v>
      </c>
      <c r="B10" s="47" t="s">
        <v>29</v>
      </c>
      <c r="C10" s="48" t="s">
        <v>42</v>
      </c>
      <c r="D10" s="48" t="s">
        <v>16</v>
      </c>
      <c r="E10" s="49" t="s">
        <v>17</v>
      </c>
      <c r="F10" s="55" t="s">
        <v>18</v>
      </c>
      <c r="G10" s="48" t="s">
        <v>19</v>
      </c>
      <c r="H10" s="50">
        <v>46184</v>
      </c>
      <c r="I10" s="56">
        <v>46186</v>
      </c>
      <c r="J10" s="48" t="s">
        <v>11</v>
      </c>
      <c r="K10" s="51" t="s">
        <v>43</v>
      </c>
    </row>
    <row r="11" spans="1:11" ht="20.399999999999999" x14ac:dyDescent="0.3">
      <c r="A11" s="52" t="s">
        <v>44</v>
      </c>
      <c r="B11" s="53" t="s">
        <v>45</v>
      </c>
      <c r="C11" s="54" t="s">
        <v>46</v>
      </c>
      <c r="D11" s="54" t="s">
        <v>16</v>
      </c>
      <c r="E11" s="55" t="s">
        <v>17</v>
      </c>
      <c r="F11" s="55" t="s">
        <v>18</v>
      </c>
      <c r="G11" s="54" t="s">
        <v>19</v>
      </c>
      <c r="H11" s="56">
        <v>46184</v>
      </c>
      <c r="I11" s="50">
        <v>46186</v>
      </c>
      <c r="J11" s="54" t="s">
        <v>11</v>
      </c>
      <c r="K11" s="57" t="s">
        <v>47</v>
      </c>
    </row>
    <row r="12" spans="1:11" ht="24" x14ac:dyDescent="0.3">
      <c r="A12" s="46" t="s">
        <v>48</v>
      </c>
      <c r="B12" s="47" t="s">
        <v>45</v>
      </c>
      <c r="C12" s="48" t="s">
        <v>49</v>
      </c>
      <c r="D12" s="48" t="s">
        <v>16</v>
      </c>
      <c r="E12" s="58" t="s">
        <v>34</v>
      </c>
      <c r="F12" s="55" t="s">
        <v>18</v>
      </c>
      <c r="G12" s="48" t="s">
        <v>19</v>
      </c>
      <c r="H12" s="50">
        <v>46184</v>
      </c>
      <c r="I12" s="56">
        <v>46186</v>
      </c>
      <c r="J12" s="48" t="s">
        <v>11</v>
      </c>
      <c r="K12" s="51" t="s">
        <v>50</v>
      </c>
    </row>
    <row r="13" spans="1:11" ht="20.399999999999999" x14ac:dyDescent="0.3">
      <c r="A13" s="52" t="s">
        <v>51</v>
      </c>
      <c r="B13" s="53" t="s">
        <v>45</v>
      </c>
      <c r="C13" s="54" t="s">
        <v>52</v>
      </c>
      <c r="D13" s="54" t="s">
        <v>16</v>
      </c>
      <c r="E13" s="63" t="s">
        <v>34</v>
      </c>
      <c r="F13" s="55" t="s">
        <v>18</v>
      </c>
      <c r="G13" s="54" t="s">
        <v>19</v>
      </c>
      <c r="H13" s="56">
        <v>46184</v>
      </c>
      <c r="I13" s="50">
        <v>46186</v>
      </c>
      <c r="J13" s="54" t="s">
        <v>11</v>
      </c>
      <c r="K13" s="57" t="s">
        <v>53</v>
      </c>
    </row>
    <row r="14" spans="1:11" ht="20.399999999999999" x14ac:dyDescent="0.3">
      <c r="A14" s="46" t="s">
        <v>54</v>
      </c>
      <c r="B14" s="47" t="s">
        <v>55</v>
      </c>
      <c r="C14" s="48" t="s">
        <v>56</v>
      </c>
      <c r="D14" s="48" t="s">
        <v>16</v>
      </c>
      <c r="E14" s="49" t="s">
        <v>17</v>
      </c>
      <c r="F14" s="55" t="s">
        <v>18</v>
      </c>
      <c r="G14" s="48" t="s">
        <v>19</v>
      </c>
      <c r="H14" s="50">
        <v>46184</v>
      </c>
      <c r="I14" s="56">
        <v>46186</v>
      </c>
      <c r="J14" s="48" t="s">
        <v>11</v>
      </c>
      <c r="K14" s="51" t="s">
        <v>57</v>
      </c>
    </row>
    <row r="15" spans="1:11" ht="24" x14ac:dyDescent="0.3">
      <c r="A15" s="52" t="s">
        <v>58</v>
      </c>
      <c r="B15" s="53" t="s">
        <v>59</v>
      </c>
      <c r="C15" s="54" t="s">
        <v>60</v>
      </c>
      <c r="D15" s="54" t="s">
        <v>16</v>
      </c>
      <c r="E15" s="55" t="s">
        <v>17</v>
      </c>
      <c r="F15" s="55" t="s">
        <v>18</v>
      </c>
      <c r="G15" s="54" t="s">
        <v>19</v>
      </c>
      <c r="H15" s="56">
        <v>46184</v>
      </c>
      <c r="I15" s="50">
        <v>46186</v>
      </c>
      <c r="J15" s="54" t="s">
        <v>11</v>
      </c>
      <c r="K15" s="57" t="s">
        <v>61</v>
      </c>
    </row>
    <row r="16" spans="1:11" ht="20.399999999999999" x14ac:dyDescent="0.3">
      <c r="A16" s="46" t="s">
        <v>62</v>
      </c>
      <c r="B16" s="47" t="s">
        <v>63</v>
      </c>
      <c r="C16" s="48" t="s">
        <v>64</v>
      </c>
      <c r="D16" s="48" t="s">
        <v>16</v>
      </c>
      <c r="E16" s="64" t="s">
        <v>65</v>
      </c>
      <c r="F16" s="55" t="s">
        <v>18</v>
      </c>
      <c r="G16" s="48" t="s">
        <v>19</v>
      </c>
      <c r="H16" s="50">
        <v>46184</v>
      </c>
      <c r="I16" s="56">
        <v>46186</v>
      </c>
      <c r="J16" s="48" t="s">
        <v>11</v>
      </c>
      <c r="K16" s="51" t="s">
        <v>66</v>
      </c>
    </row>
    <row r="17" spans="1:11" ht="24" x14ac:dyDescent="0.3">
      <c r="A17" s="52" t="s">
        <v>67</v>
      </c>
      <c r="B17" s="53" t="s">
        <v>63</v>
      </c>
      <c r="C17" s="54" t="s">
        <v>68</v>
      </c>
      <c r="D17" s="54" t="s">
        <v>16</v>
      </c>
      <c r="E17" s="63" t="s">
        <v>34</v>
      </c>
      <c r="F17" s="55" t="s">
        <v>18</v>
      </c>
      <c r="G17" s="54" t="s">
        <v>19</v>
      </c>
      <c r="H17" s="56">
        <v>46184</v>
      </c>
      <c r="I17" s="50">
        <v>46186</v>
      </c>
      <c r="J17" s="54" t="s">
        <v>11</v>
      </c>
      <c r="K17" s="57" t="s">
        <v>69</v>
      </c>
    </row>
    <row r="18" spans="1:11" ht="20.399999999999999" x14ac:dyDescent="0.3">
      <c r="A18" s="46" t="s">
        <v>70</v>
      </c>
      <c r="B18" s="47" t="s">
        <v>14</v>
      </c>
      <c r="C18" s="48" t="s">
        <v>71</v>
      </c>
      <c r="D18" s="48" t="s">
        <v>16</v>
      </c>
      <c r="E18" s="64" t="s">
        <v>65</v>
      </c>
      <c r="F18" s="55" t="s">
        <v>18</v>
      </c>
      <c r="G18" s="48" t="s">
        <v>19</v>
      </c>
      <c r="H18" s="50">
        <v>46184</v>
      </c>
      <c r="I18" s="56">
        <v>46186</v>
      </c>
      <c r="J18" s="48" t="s">
        <v>11</v>
      </c>
      <c r="K18" s="51" t="s">
        <v>72</v>
      </c>
    </row>
    <row r="19" spans="1:11" ht="24" x14ac:dyDescent="0.3">
      <c r="A19" s="52" t="s">
        <v>73</v>
      </c>
      <c r="B19" s="53" t="s">
        <v>38</v>
      </c>
      <c r="C19" s="54" t="s">
        <v>74</v>
      </c>
      <c r="D19" s="54" t="s">
        <v>16</v>
      </c>
      <c r="E19" s="63" t="s">
        <v>34</v>
      </c>
      <c r="F19" s="55" t="s">
        <v>18</v>
      </c>
      <c r="G19" s="54" t="s">
        <v>19</v>
      </c>
      <c r="H19" s="56">
        <v>46184</v>
      </c>
      <c r="I19" s="50">
        <v>46186</v>
      </c>
      <c r="J19" s="54" t="s">
        <v>11</v>
      </c>
      <c r="K19" s="57" t="s">
        <v>75</v>
      </c>
    </row>
    <row r="20" spans="1:11" ht="24" x14ac:dyDescent="0.3">
      <c r="A20" s="46" t="s">
        <v>76</v>
      </c>
      <c r="B20" s="47" t="s">
        <v>63</v>
      </c>
      <c r="C20" s="48" t="s">
        <v>77</v>
      </c>
      <c r="D20" s="48" t="s">
        <v>16</v>
      </c>
      <c r="E20" s="58" t="s">
        <v>34</v>
      </c>
      <c r="F20" s="55" t="s">
        <v>18</v>
      </c>
      <c r="G20" s="48" t="s">
        <v>19</v>
      </c>
      <c r="H20" s="50">
        <v>46184</v>
      </c>
      <c r="I20" s="56">
        <v>46186</v>
      </c>
      <c r="J20" s="48" t="s">
        <v>11</v>
      </c>
      <c r="K20" s="51" t="s">
        <v>78</v>
      </c>
    </row>
    <row r="21" spans="1:11" ht="20.399999999999999" x14ac:dyDescent="0.3">
      <c r="A21" s="52" t="s">
        <v>79</v>
      </c>
      <c r="B21" s="53" t="s">
        <v>80</v>
      </c>
      <c r="C21" s="54" t="s">
        <v>81</v>
      </c>
      <c r="D21" s="54" t="s">
        <v>16</v>
      </c>
      <c r="E21" s="65" t="s">
        <v>65</v>
      </c>
      <c r="F21" s="55" t="s">
        <v>18</v>
      </c>
      <c r="G21" s="54" t="s">
        <v>19</v>
      </c>
      <c r="H21" s="56">
        <v>46184</v>
      </c>
      <c r="I21" s="50">
        <v>46186</v>
      </c>
      <c r="J21" s="54" t="s">
        <v>11</v>
      </c>
      <c r="K21" s="57" t="s">
        <v>82</v>
      </c>
    </row>
    <row r="22" spans="1:11" ht="20.399999999999999" x14ac:dyDescent="0.3">
      <c r="A22" s="46" t="s">
        <v>83</v>
      </c>
      <c r="B22" s="47" t="s">
        <v>14</v>
      </c>
      <c r="C22" s="48" t="s">
        <v>84</v>
      </c>
      <c r="D22" s="48" t="s">
        <v>16</v>
      </c>
      <c r="E22" s="64" t="s">
        <v>65</v>
      </c>
      <c r="F22" s="55" t="s">
        <v>18</v>
      </c>
      <c r="G22" s="48" t="s">
        <v>19</v>
      </c>
      <c r="H22" s="50">
        <v>46184</v>
      </c>
      <c r="I22" s="56">
        <v>46186</v>
      </c>
      <c r="J22" s="48" t="s">
        <v>11</v>
      </c>
      <c r="K22" s="51" t="s">
        <v>85</v>
      </c>
    </row>
    <row r="23" spans="1:11" x14ac:dyDescent="0.3">
      <c r="A23" s="59" t="s">
        <v>11</v>
      </c>
      <c r="B23" s="60" t="s">
        <v>11</v>
      </c>
      <c r="C23" s="61" t="s">
        <v>86</v>
      </c>
      <c r="D23" s="61" t="s">
        <v>11</v>
      </c>
      <c r="E23" s="61" t="s">
        <v>11</v>
      </c>
      <c r="F23" s="61" t="s">
        <v>11</v>
      </c>
      <c r="G23" s="61" t="s">
        <v>11</v>
      </c>
      <c r="H23" s="62" t="s">
        <v>11</v>
      </c>
      <c r="I23" s="50"/>
      <c r="J23" s="61" t="s">
        <v>11</v>
      </c>
      <c r="K23" s="61" t="s">
        <v>11</v>
      </c>
    </row>
    <row r="24" spans="1:11" ht="20.399999999999999" x14ac:dyDescent="0.3">
      <c r="A24" s="52" t="s">
        <v>87</v>
      </c>
      <c r="B24" s="53" t="s">
        <v>63</v>
      </c>
      <c r="C24" s="54" t="s">
        <v>88</v>
      </c>
      <c r="D24" s="54" t="s">
        <v>16</v>
      </c>
      <c r="E24" s="63" t="s">
        <v>34</v>
      </c>
      <c r="F24" s="55" t="s">
        <v>18</v>
      </c>
      <c r="G24" s="54" t="s">
        <v>19</v>
      </c>
      <c r="H24" s="56">
        <v>46184</v>
      </c>
      <c r="I24" s="56">
        <v>46186</v>
      </c>
      <c r="J24" s="54" t="s">
        <v>11</v>
      </c>
      <c r="K24" s="57" t="s">
        <v>89</v>
      </c>
    </row>
    <row r="25" spans="1:11" x14ac:dyDescent="0.3">
      <c r="A25" s="46" t="s">
        <v>90</v>
      </c>
      <c r="B25" s="47" t="s">
        <v>63</v>
      </c>
      <c r="C25" s="48" t="s">
        <v>91</v>
      </c>
      <c r="D25" s="48" t="s">
        <v>16</v>
      </c>
      <c r="E25" s="58" t="s">
        <v>34</v>
      </c>
      <c r="F25" s="55" t="s">
        <v>18</v>
      </c>
      <c r="G25" s="48" t="s">
        <v>19</v>
      </c>
      <c r="H25" s="50">
        <v>46184</v>
      </c>
      <c r="I25" s="50">
        <v>46186</v>
      </c>
      <c r="J25" s="48" t="s">
        <v>11</v>
      </c>
      <c r="K25" s="51" t="s">
        <v>92</v>
      </c>
    </row>
    <row r="26" spans="1:11" x14ac:dyDescent="0.3">
      <c r="A26" s="52" t="s">
        <v>93</v>
      </c>
      <c r="B26" s="53" t="s">
        <v>63</v>
      </c>
      <c r="C26" s="54" t="s">
        <v>94</v>
      </c>
      <c r="D26" s="54" t="s">
        <v>16</v>
      </c>
      <c r="E26" s="65" t="s">
        <v>65</v>
      </c>
      <c r="F26" s="55" t="s">
        <v>18</v>
      </c>
      <c r="G26" s="54" t="s">
        <v>19</v>
      </c>
      <c r="H26" s="56">
        <v>46184</v>
      </c>
      <c r="I26" s="56">
        <v>46186</v>
      </c>
      <c r="J26" s="54" t="s">
        <v>11</v>
      </c>
      <c r="K26" s="57" t="s">
        <v>95</v>
      </c>
    </row>
    <row r="27" spans="1:11" ht="20.399999999999999" x14ac:dyDescent="0.3">
      <c r="A27" s="46" t="s">
        <v>96</v>
      </c>
      <c r="B27" s="47" t="s">
        <v>63</v>
      </c>
      <c r="C27" s="48" t="s">
        <v>97</v>
      </c>
      <c r="D27" s="48" t="s">
        <v>16</v>
      </c>
      <c r="E27" s="58" t="s">
        <v>34</v>
      </c>
      <c r="F27" s="55" t="s">
        <v>18</v>
      </c>
      <c r="G27" s="48" t="s">
        <v>19</v>
      </c>
      <c r="H27" s="50">
        <v>46184</v>
      </c>
      <c r="I27" s="50">
        <v>46186</v>
      </c>
      <c r="J27" s="48" t="s">
        <v>11</v>
      </c>
      <c r="K27" s="51" t="s">
        <v>98</v>
      </c>
    </row>
    <row r="28" spans="1:11" ht="24" x14ac:dyDescent="0.3">
      <c r="A28" s="52" t="s">
        <v>99</v>
      </c>
      <c r="B28" s="53" t="s">
        <v>63</v>
      </c>
      <c r="C28" s="54" t="s">
        <v>100</v>
      </c>
      <c r="D28" s="54" t="s">
        <v>16</v>
      </c>
      <c r="E28" s="55" t="s">
        <v>17</v>
      </c>
      <c r="F28" s="55" t="s">
        <v>18</v>
      </c>
      <c r="G28" s="54" t="s">
        <v>19</v>
      </c>
      <c r="H28" s="56">
        <v>46184</v>
      </c>
      <c r="I28" s="56">
        <v>46186</v>
      </c>
      <c r="J28" s="54" t="s">
        <v>11</v>
      </c>
      <c r="K28" s="57" t="s">
        <v>101</v>
      </c>
    </row>
    <row r="29" spans="1:11" ht="24" x14ac:dyDescent="0.3">
      <c r="A29" s="46" t="s">
        <v>102</v>
      </c>
      <c r="B29" s="47" t="s">
        <v>103</v>
      </c>
      <c r="C29" s="48" t="s">
        <v>104</v>
      </c>
      <c r="D29" s="48" t="s">
        <v>16</v>
      </c>
      <c r="E29" s="49" t="s">
        <v>17</v>
      </c>
      <c r="F29" s="55" t="s">
        <v>18</v>
      </c>
      <c r="G29" s="48" t="s">
        <v>19</v>
      </c>
      <c r="H29" s="50">
        <v>46184</v>
      </c>
      <c r="I29" s="50">
        <v>46186</v>
      </c>
      <c r="J29" s="48" t="s">
        <v>11</v>
      </c>
      <c r="K29" s="51" t="s">
        <v>105</v>
      </c>
    </row>
    <row r="30" spans="1:11" ht="24" x14ac:dyDescent="0.3">
      <c r="A30" s="52" t="s">
        <v>106</v>
      </c>
      <c r="B30" s="53" t="s">
        <v>103</v>
      </c>
      <c r="C30" s="54" t="s">
        <v>107</v>
      </c>
      <c r="D30" s="54" t="s">
        <v>16</v>
      </c>
      <c r="E30" s="55" t="s">
        <v>17</v>
      </c>
      <c r="F30" s="55" t="s">
        <v>18</v>
      </c>
      <c r="G30" s="54" t="s">
        <v>19</v>
      </c>
      <c r="H30" s="56">
        <v>46184</v>
      </c>
      <c r="I30" s="56">
        <v>46186</v>
      </c>
      <c r="J30" s="54" t="s">
        <v>11</v>
      </c>
      <c r="K30" s="57" t="s">
        <v>108</v>
      </c>
    </row>
    <row r="31" spans="1:11" ht="24" x14ac:dyDescent="0.3">
      <c r="A31" s="46" t="s">
        <v>109</v>
      </c>
      <c r="B31" s="47" t="s">
        <v>103</v>
      </c>
      <c r="C31" s="48" t="s">
        <v>110</v>
      </c>
      <c r="D31" s="48" t="s">
        <v>16</v>
      </c>
      <c r="E31" s="49" t="s">
        <v>17</v>
      </c>
      <c r="F31" s="55" t="s">
        <v>18</v>
      </c>
      <c r="G31" s="48" t="s">
        <v>19</v>
      </c>
      <c r="H31" s="50">
        <v>46184</v>
      </c>
      <c r="I31" s="50">
        <v>46186</v>
      </c>
      <c r="J31" s="48" t="s">
        <v>11</v>
      </c>
      <c r="K31" s="51" t="s">
        <v>111</v>
      </c>
    </row>
    <row r="32" spans="1:11" ht="24" x14ac:dyDescent="0.3">
      <c r="A32" s="52" t="s">
        <v>112</v>
      </c>
      <c r="B32" s="53" t="s">
        <v>38</v>
      </c>
      <c r="C32" s="54" t="s">
        <v>113</v>
      </c>
      <c r="D32" s="54" t="s">
        <v>16</v>
      </c>
      <c r="E32" s="55" t="s">
        <v>17</v>
      </c>
      <c r="F32" s="55" t="s">
        <v>18</v>
      </c>
      <c r="G32" s="54" t="s">
        <v>19</v>
      </c>
      <c r="H32" s="56">
        <v>46184</v>
      </c>
      <c r="I32" s="56">
        <v>46186</v>
      </c>
      <c r="J32" s="54" t="s">
        <v>11</v>
      </c>
      <c r="K32" s="57" t="s">
        <v>114</v>
      </c>
    </row>
    <row r="33" spans="1:11" ht="24" x14ac:dyDescent="0.3">
      <c r="A33" s="46" t="s">
        <v>115</v>
      </c>
      <c r="B33" s="47" t="s">
        <v>29</v>
      </c>
      <c r="C33" s="48" t="s">
        <v>116</v>
      </c>
      <c r="D33" s="48" t="s">
        <v>16</v>
      </c>
      <c r="E33" s="58" t="s">
        <v>34</v>
      </c>
      <c r="F33" s="55" t="s">
        <v>18</v>
      </c>
      <c r="G33" s="48" t="s">
        <v>19</v>
      </c>
      <c r="H33" s="50">
        <v>46184</v>
      </c>
      <c r="I33" s="50">
        <v>46186</v>
      </c>
      <c r="J33" s="48" t="s">
        <v>11</v>
      </c>
      <c r="K33" s="51" t="s">
        <v>117</v>
      </c>
    </row>
    <row r="34" spans="1:11" x14ac:dyDescent="0.3">
      <c r="A34" s="59" t="s">
        <v>11</v>
      </c>
      <c r="B34" s="60" t="s">
        <v>11</v>
      </c>
      <c r="C34" s="61" t="s">
        <v>118</v>
      </c>
      <c r="D34" s="61" t="s">
        <v>11</v>
      </c>
      <c r="E34" s="61" t="s">
        <v>11</v>
      </c>
      <c r="F34" s="61" t="s">
        <v>11</v>
      </c>
      <c r="G34" s="61" t="s">
        <v>11</v>
      </c>
      <c r="H34" s="62" t="s">
        <v>11</v>
      </c>
      <c r="I34" s="56"/>
      <c r="J34" s="61" t="s">
        <v>11</v>
      </c>
      <c r="K34" s="61" t="s">
        <v>11</v>
      </c>
    </row>
    <row r="35" spans="1:11" ht="24" x14ac:dyDescent="0.3">
      <c r="A35" s="52" t="s">
        <v>119</v>
      </c>
      <c r="B35" s="53" t="s">
        <v>14</v>
      </c>
      <c r="C35" s="54" t="s">
        <v>120</v>
      </c>
      <c r="D35" s="54" t="s">
        <v>16</v>
      </c>
      <c r="E35" s="63" t="s">
        <v>34</v>
      </c>
      <c r="F35" s="55" t="s">
        <v>18</v>
      </c>
      <c r="G35" s="54" t="s">
        <v>19</v>
      </c>
      <c r="H35" s="56">
        <v>46184</v>
      </c>
      <c r="I35" s="50">
        <v>46186</v>
      </c>
      <c r="J35" s="54" t="s">
        <v>11</v>
      </c>
      <c r="K35" s="57" t="s">
        <v>121</v>
      </c>
    </row>
    <row r="36" spans="1:11" ht="24" x14ac:dyDescent="0.3">
      <c r="A36" s="46" t="s">
        <v>122</v>
      </c>
      <c r="B36" s="47" t="s">
        <v>29</v>
      </c>
      <c r="C36" s="48" t="s">
        <v>123</v>
      </c>
      <c r="D36" s="48" t="s">
        <v>16</v>
      </c>
      <c r="E36" s="58" t="s">
        <v>34</v>
      </c>
      <c r="F36" s="55" t="s">
        <v>18</v>
      </c>
      <c r="G36" s="48" t="s">
        <v>19</v>
      </c>
      <c r="H36" s="50">
        <v>46184</v>
      </c>
      <c r="I36" s="56">
        <v>46186</v>
      </c>
      <c r="J36" s="48" t="s">
        <v>11</v>
      </c>
      <c r="K36" s="51" t="s">
        <v>124</v>
      </c>
    </row>
    <row r="37" spans="1:11" ht="24" x14ac:dyDescent="0.3">
      <c r="A37" s="52" t="s">
        <v>125</v>
      </c>
      <c r="B37" s="53" t="s">
        <v>38</v>
      </c>
      <c r="C37" s="54" t="s">
        <v>126</v>
      </c>
      <c r="D37" s="54" t="s">
        <v>16</v>
      </c>
      <c r="E37" s="63" t="s">
        <v>34</v>
      </c>
      <c r="F37" s="55" t="s">
        <v>18</v>
      </c>
      <c r="G37" s="54" t="s">
        <v>19</v>
      </c>
      <c r="H37" s="56">
        <v>46184</v>
      </c>
      <c r="I37" s="50">
        <v>46186</v>
      </c>
      <c r="J37" s="54" t="s">
        <v>11</v>
      </c>
      <c r="K37" s="57" t="s">
        <v>127</v>
      </c>
    </row>
    <row r="38" spans="1:11" ht="24" x14ac:dyDescent="0.3">
      <c r="A38" s="46" t="s">
        <v>128</v>
      </c>
      <c r="B38" s="47" t="s">
        <v>45</v>
      </c>
      <c r="C38" s="48" t="s">
        <v>129</v>
      </c>
      <c r="D38" s="48" t="s">
        <v>16</v>
      </c>
      <c r="E38" s="58" t="s">
        <v>34</v>
      </c>
      <c r="F38" s="55" t="s">
        <v>18</v>
      </c>
      <c r="G38" s="48" t="s">
        <v>19</v>
      </c>
      <c r="H38" s="50">
        <v>46184</v>
      </c>
      <c r="I38" s="56">
        <v>46186</v>
      </c>
      <c r="J38" s="48" t="s">
        <v>11</v>
      </c>
      <c r="K38" s="51" t="s">
        <v>130</v>
      </c>
    </row>
    <row r="39" spans="1:11" ht="36" x14ac:dyDescent="0.3">
      <c r="A39" s="52" t="s">
        <v>131</v>
      </c>
      <c r="B39" s="53" t="s">
        <v>63</v>
      </c>
      <c r="C39" s="54" t="s">
        <v>132</v>
      </c>
      <c r="D39" s="54" t="s">
        <v>16</v>
      </c>
      <c r="E39" s="63" t="s">
        <v>34</v>
      </c>
      <c r="F39" s="55" t="s">
        <v>18</v>
      </c>
      <c r="G39" s="54" t="s">
        <v>19</v>
      </c>
      <c r="H39" s="56">
        <v>46184</v>
      </c>
      <c r="I39" s="50">
        <v>46186</v>
      </c>
      <c r="J39" s="54" t="s">
        <v>11</v>
      </c>
      <c r="K39" s="57" t="s">
        <v>133</v>
      </c>
    </row>
    <row r="40" spans="1:11" ht="24" x14ac:dyDescent="0.3">
      <c r="A40" s="46" t="s">
        <v>134</v>
      </c>
      <c r="B40" s="47" t="s">
        <v>103</v>
      </c>
      <c r="C40" s="48" t="s">
        <v>135</v>
      </c>
      <c r="D40" s="48" t="s">
        <v>16</v>
      </c>
      <c r="E40" s="64" t="s">
        <v>65</v>
      </c>
      <c r="F40" s="55" t="s">
        <v>18</v>
      </c>
      <c r="G40" s="48" t="s">
        <v>19</v>
      </c>
      <c r="H40" s="50">
        <v>46184</v>
      </c>
      <c r="I40" s="56">
        <v>46186</v>
      </c>
      <c r="J40" s="48" t="s">
        <v>11</v>
      </c>
      <c r="K40" s="51" t="s">
        <v>136</v>
      </c>
    </row>
    <row r="41" spans="1:11" ht="24" x14ac:dyDescent="0.3">
      <c r="A41" s="52" t="s">
        <v>137</v>
      </c>
      <c r="B41" s="53" t="s">
        <v>138</v>
      </c>
      <c r="C41" s="54" t="s">
        <v>139</v>
      </c>
      <c r="D41" s="54" t="s">
        <v>16</v>
      </c>
      <c r="E41" s="65" t="s">
        <v>65</v>
      </c>
      <c r="F41" s="55" t="s">
        <v>18</v>
      </c>
      <c r="G41" s="54" t="s">
        <v>19</v>
      </c>
      <c r="H41" s="56">
        <v>46184</v>
      </c>
      <c r="I41" s="50">
        <v>46186</v>
      </c>
      <c r="J41" s="54" t="s">
        <v>11</v>
      </c>
      <c r="K41" s="57" t="s">
        <v>140</v>
      </c>
    </row>
    <row r="42" spans="1:11" x14ac:dyDescent="0.3">
      <c r="A42" s="59" t="s">
        <v>11</v>
      </c>
      <c r="B42" s="60" t="s">
        <v>11</v>
      </c>
      <c r="C42" s="61" t="s">
        <v>141</v>
      </c>
      <c r="D42" s="61" t="s">
        <v>11</v>
      </c>
      <c r="E42" s="61" t="s">
        <v>11</v>
      </c>
      <c r="F42" s="61" t="s">
        <v>11</v>
      </c>
      <c r="G42" s="61" t="s">
        <v>11</v>
      </c>
      <c r="H42" s="62" t="s">
        <v>11</v>
      </c>
      <c r="I42" s="56"/>
      <c r="J42" s="61" t="s">
        <v>11</v>
      </c>
      <c r="K42" s="61" t="s">
        <v>11</v>
      </c>
    </row>
    <row r="43" spans="1:11" ht="24" x14ac:dyDescent="0.3">
      <c r="A43" s="46" t="s">
        <v>142</v>
      </c>
      <c r="B43" s="47" t="s">
        <v>45</v>
      </c>
      <c r="C43" s="48" t="s">
        <v>143</v>
      </c>
      <c r="D43" s="48" t="s">
        <v>16</v>
      </c>
      <c r="E43" s="64" t="s">
        <v>65</v>
      </c>
      <c r="F43" s="49" t="s">
        <v>18</v>
      </c>
      <c r="G43" s="48" t="s">
        <v>19</v>
      </c>
      <c r="H43" s="50">
        <v>46184</v>
      </c>
      <c r="I43" s="50">
        <v>46186</v>
      </c>
      <c r="J43" s="48" t="s">
        <v>11</v>
      </c>
      <c r="K43" s="51" t="s">
        <v>144</v>
      </c>
    </row>
    <row r="44" spans="1:11" ht="24" x14ac:dyDescent="0.3">
      <c r="A44" s="52" t="s">
        <v>145</v>
      </c>
      <c r="B44" s="53" t="s">
        <v>29</v>
      </c>
      <c r="C44" s="54" t="s">
        <v>146</v>
      </c>
      <c r="D44" s="54" t="s">
        <v>16</v>
      </c>
      <c r="E44" s="65" t="s">
        <v>65</v>
      </c>
      <c r="F44" s="49" t="s">
        <v>18</v>
      </c>
      <c r="G44" s="54" t="s">
        <v>19</v>
      </c>
      <c r="H44" s="56">
        <v>46184</v>
      </c>
      <c r="I44" s="56">
        <v>46186</v>
      </c>
      <c r="J44" s="54" t="s">
        <v>11</v>
      </c>
      <c r="K44" s="57" t="s">
        <v>147</v>
      </c>
    </row>
    <row r="45" spans="1:11" ht="24" x14ac:dyDescent="0.3">
      <c r="A45" s="46" t="s">
        <v>148</v>
      </c>
      <c r="B45" s="47" t="s">
        <v>38</v>
      </c>
      <c r="C45" s="48" t="s">
        <v>149</v>
      </c>
      <c r="D45" s="48" t="s">
        <v>16</v>
      </c>
      <c r="E45" s="58" t="s">
        <v>34</v>
      </c>
      <c r="F45" s="49" t="s">
        <v>18</v>
      </c>
      <c r="G45" s="48" t="s">
        <v>19</v>
      </c>
      <c r="H45" s="50">
        <v>46184</v>
      </c>
      <c r="I45" s="50">
        <v>46186</v>
      </c>
      <c r="J45" s="48" t="s">
        <v>11</v>
      </c>
      <c r="K45" s="51" t="s">
        <v>150</v>
      </c>
    </row>
    <row r="46" spans="1:11" ht="20.399999999999999" x14ac:dyDescent="0.3">
      <c r="A46" s="52" t="s">
        <v>151</v>
      </c>
      <c r="B46" s="53" t="s">
        <v>103</v>
      </c>
      <c r="C46" s="54" t="s">
        <v>152</v>
      </c>
      <c r="D46" s="54" t="s">
        <v>16</v>
      </c>
      <c r="E46" s="65" t="s">
        <v>65</v>
      </c>
      <c r="F46" s="49" t="s">
        <v>18</v>
      </c>
      <c r="G46" s="54" t="s">
        <v>19</v>
      </c>
      <c r="H46" s="56">
        <v>46184</v>
      </c>
      <c r="I46" s="56">
        <v>46186</v>
      </c>
      <c r="J46" s="54" t="s">
        <v>11</v>
      </c>
      <c r="K46" s="57" t="s">
        <v>153</v>
      </c>
    </row>
    <row r="47" spans="1:11" ht="24" x14ac:dyDescent="0.3">
      <c r="A47" s="46" t="s">
        <v>154</v>
      </c>
      <c r="B47" s="47" t="s">
        <v>63</v>
      </c>
      <c r="C47" s="48" t="s">
        <v>155</v>
      </c>
      <c r="D47" s="48" t="s">
        <v>16</v>
      </c>
      <c r="E47" s="58" t="s">
        <v>34</v>
      </c>
      <c r="F47" s="49" t="s">
        <v>18</v>
      </c>
      <c r="G47" s="48" t="s">
        <v>19</v>
      </c>
      <c r="H47" s="50">
        <v>46184</v>
      </c>
      <c r="I47" s="50">
        <v>46186</v>
      </c>
      <c r="J47" s="48" t="s">
        <v>11</v>
      </c>
      <c r="K47" s="51" t="s">
        <v>156</v>
      </c>
    </row>
    <row r="48" spans="1:11" x14ac:dyDescent="0.3">
      <c r="A48" s="59" t="s">
        <v>11</v>
      </c>
      <c r="B48" s="60" t="s">
        <v>11</v>
      </c>
      <c r="C48" s="61" t="s">
        <v>157</v>
      </c>
      <c r="D48" s="61" t="s">
        <v>11</v>
      </c>
      <c r="E48" s="61" t="s">
        <v>11</v>
      </c>
      <c r="F48" s="61" t="s">
        <v>11</v>
      </c>
      <c r="G48" s="61" t="s">
        <v>11</v>
      </c>
      <c r="H48" s="62" t="s">
        <v>11</v>
      </c>
      <c r="I48" s="56">
        <v>46186</v>
      </c>
      <c r="J48" s="61" t="s">
        <v>11</v>
      </c>
      <c r="K48" s="61" t="s">
        <v>11</v>
      </c>
    </row>
    <row r="49" spans="1:11" ht="24" x14ac:dyDescent="0.3">
      <c r="A49" s="52" t="s">
        <v>158</v>
      </c>
      <c r="B49" s="53" t="s">
        <v>159</v>
      </c>
      <c r="C49" s="54" t="s">
        <v>160</v>
      </c>
      <c r="D49" s="54" t="s">
        <v>16</v>
      </c>
      <c r="E49" s="55" t="s">
        <v>17</v>
      </c>
      <c r="F49" s="55" t="s">
        <v>18</v>
      </c>
      <c r="G49" s="54" t="s">
        <v>19</v>
      </c>
      <c r="H49" s="56">
        <v>46184</v>
      </c>
      <c r="I49" s="50">
        <v>46186</v>
      </c>
      <c r="J49" s="54" t="s">
        <v>11</v>
      </c>
      <c r="K49" s="57" t="s">
        <v>161</v>
      </c>
    </row>
    <row r="50" spans="1:11" ht="24" x14ac:dyDescent="0.3">
      <c r="A50" s="46" t="s">
        <v>162</v>
      </c>
      <c r="B50" s="47" t="s">
        <v>14</v>
      </c>
      <c r="C50" s="48" t="s">
        <v>163</v>
      </c>
      <c r="D50" s="48" t="s">
        <v>16</v>
      </c>
      <c r="E50" s="58" t="s">
        <v>34</v>
      </c>
      <c r="F50" s="55" t="s">
        <v>18</v>
      </c>
      <c r="G50" s="48" t="s">
        <v>19</v>
      </c>
      <c r="H50" s="50">
        <v>46184</v>
      </c>
      <c r="I50" s="56">
        <v>46186</v>
      </c>
      <c r="J50" s="48" t="s">
        <v>11</v>
      </c>
      <c r="K50" s="51" t="s">
        <v>164</v>
      </c>
    </row>
    <row r="51" spans="1:11" ht="24" x14ac:dyDescent="0.3">
      <c r="A51" s="52" t="s">
        <v>165</v>
      </c>
      <c r="B51" s="53" t="s">
        <v>166</v>
      </c>
      <c r="C51" s="54" t="s">
        <v>167</v>
      </c>
      <c r="D51" s="54" t="s">
        <v>16</v>
      </c>
      <c r="E51" s="63" t="s">
        <v>34</v>
      </c>
      <c r="F51" s="55" t="s">
        <v>18</v>
      </c>
      <c r="G51" s="54" t="s">
        <v>19</v>
      </c>
      <c r="H51" s="56">
        <v>46184</v>
      </c>
      <c r="I51" s="50">
        <v>46186</v>
      </c>
      <c r="J51" s="54" t="s">
        <v>11</v>
      </c>
      <c r="K51" s="57" t="s">
        <v>168</v>
      </c>
    </row>
    <row r="52" spans="1:11" ht="43.2" x14ac:dyDescent="0.3">
      <c r="A52" s="66" t="s">
        <v>169</v>
      </c>
      <c r="B52" s="7" t="s">
        <v>170</v>
      </c>
      <c r="C52" s="66" t="s">
        <v>171</v>
      </c>
      <c r="D52" s="66" t="s">
        <v>172</v>
      </c>
      <c r="E52" s="66" t="s">
        <v>34</v>
      </c>
      <c r="F52" s="66" t="s">
        <v>18</v>
      </c>
      <c r="G52" s="66" t="s">
        <v>173</v>
      </c>
      <c r="H52" s="34">
        <v>46184</v>
      </c>
      <c r="I52" s="34">
        <v>46184</v>
      </c>
      <c r="J52" s="67">
        <v>46184</v>
      </c>
      <c r="K52" s="66"/>
    </row>
    <row r="53" spans="1:11" ht="43.2" x14ac:dyDescent="0.3">
      <c r="A53" s="66" t="s">
        <v>174</v>
      </c>
      <c r="B53" s="7" t="s">
        <v>175</v>
      </c>
      <c r="C53" s="66" t="s">
        <v>176</v>
      </c>
      <c r="D53" s="66" t="s">
        <v>172</v>
      </c>
      <c r="E53" s="66" t="s">
        <v>34</v>
      </c>
      <c r="F53" s="66" t="s">
        <v>18</v>
      </c>
      <c r="G53" s="66" t="s">
        <v>173</v>
      </c>
      <c r="H53" s="34">
        <v>46184</v>
      </c>
      <c r="I53" s="34">
        <v>46184</v>
      </c>
      <c r="J53" s="67">
        <v>46184</v>
      </c>
      <c r="K53" s="66"/>
    </row>
    <row r="54" spans="1:11" ht="57.6" x14ac:dyDescent="0.3">
      <c r="A54" s="66" t="s">
        <v>177</v>
      </c>
      <c r="B54" s="7" t="s">
        <v>178</v>
      </c>
      <c r="C54" s="66" t="s">
        <v>179</v>
      </c>
      <c r="D54" s="66" t="s">
        <v>172</v>
      </c>
      <c r="E54" s="66" t="s">
        <v>17</v>
      </c>
      <c r="F54" s="66" t="s">
        <v>18</v>
      </c>
      <c r="G54" s="66" t="s">
        <v>173</v>
      </c>
      <c r="H54" s="34">
        <v>46184</v>
      </c>
      <c r="I54" s="34">
        <v>46184</v>
      </c>
      <c r="J54" s="67">
        <v>46184</v>
      </c>
      <c r="K54" s="66"/>
    </row>
    <row r="55" spans="1:11" ht="43.2" x14ac:dyDescent="0.3">
      <c r="A55" s="66" t="s">
        <v>180</v>
      </c>
      <c r="B55" s="7" t="s">
        <v>181</v>
      </c>
      <c r="C55" s="66" t="s">
        <v>182</v>
      </c>
      <c r="D55" s="66" t="s">
        <v>172</v>
      </c>
      <c r="E55" s="66" t="s">
        <v>34</v>
      </c>
      <c r="F55" s="66" t="s">
        <v>18</v>
      </c>
      <c r="G55" s="66" t="s">
        <v>173</v>
      </c>
      <c r="H55" s="34">
        <v>46184</v>
      </c>
      <c r="I55" s="34">
        <v>46184</v>
      </c>
      <c r="J55" s="67">
        <v>46184</v>
      </c>
      <c r="K55" s="66"/>
    </row>
    <row r="56" spans="1:11" ht="43.2" x14ac:dyDescent="0.3">
      <c r="A56" s="66" t="s">
        <v>183</v>
      </c>
      <c r="B56" s="7" t="s">
        <v>184</v>
      </c>
      <c r="C56" s="66" t="s">
        <v>185</v>
      </c>
      <c r="D56" s="66" t="s">
        <v>172</v>
      </c>
      <c r="E56" s="66" t="s">
        <v>17</v>
      </c>
      <c r="F56" s="66" t="s">
        <v>18</v>
      </c>
      <c r="G56" s="66" t="s">
        <v>173</v>
      </c>
      <c r="H56" s="34">
        <v>46184</v>
      </c>
      <c r="I56" s="34">
        <v>46184</v>
      </c>
      <c r="J56" s="67">
        <v>46184</v>
      </c>
      <c r="K56" s="66"/>
    </row>
    <row r="57" spans="1:11" ht="43.2" x14ac:dyDescent="0.3">
      <c r="A57" s="66" t="s">
        <v>186</v>
      </c>
      <c r="B57" s="7" t="s">
        <v>184</v>
      </c>
      <c r="C57" s="66" t="s">
        <v>187</v>
      </c>
      <c r="D57" s="66" t="s">
        <v>172</v>
      </c>
      <c r="E57" s="66" t="s">
        <v>34</v>
      </c>
      <c r="F57" s="66" t="s">
        <v>18</v>
      </c>
      <c r="G57" s="66" t="s">
        <v>173</v>
      </c>
      <c r="H57" s="34">
        <v>46184</v>
      </c>
      <c r="I57" s="34">
        <v>46184</v>
      </c>
      <c r="J57" s="67">
        <v>46184</v>
      </c>
      <c r="K57" s="66"/>
    </row>
    <row r="58" spans="1:11" ht="43.2" x14ac:dyDescent="0.3">
      <c r="A58" s="66" t="s">
        <v>188</v>
      </c>
      <c r="B58" s="7" t="s">
        <v>189</v>
      </c>
      <c r="C58" s="66" t="s">
        <v>190</v>
      </c>
      <c r="D58" s="66" t="s">
        <v>172</v>
      </c>
      <c r="E58" s="66" t="s">
        <v>17</v>
      </c>
      <c r="F58" s="66" t="s">
        <v>18</v>
      </c>
      <c r="G58" s="66" t="s">
        <v>173</v>
      </c>
      <c r="H58" s="34">
        <v>46184</v>
      </c>
      <c r="I58" s="34">
        <v>46184</v>
      </c>
      <c r="J58" s="67">
        <v>46184</v>
      </c>
      <c r="K58" s="66"/>
    </row>
    <row r="59" spans="1:11" ht="57.6" x14ac:dyDescent="0.3">
      <c r="A59" s="66" t="s">
        <v>191</v>
      </c>
      <c r="B59" s="7" t="s">
        <v>192</v>
      </c>
      <c r="C59" s="66" t="s">
        <v>193</v>
      </c>
      <c r="D59" s="66" t="s">
        <v>172</v>
      </c>
      <c r="E59" s="66" t="s">
        <v>34</v>
      </c>
      <c r="F59" s="66" t="s">
        <v>18</v>
      </c>
      <c r="G59" s="66" t="s">
        <v>173</v>
      </c>
      <c r="H59" s="34">
        <v>46184</v>
      </c>
      <c r="I59" s="34">
        <v>46184</v>
      </c>
      <c r="J59" s="67">
        <v>46184</v>
      </c>
      <c r="K59" s="66"/>
    </row>
    <row r="60" spans="1:11" s="10" customFormat="1" x14ac:dyDescent="0.3">
      <c r="A60" s="14" t="s">
        <v>194</v>
      </c>
      <c r="B60" s="7" t="s">
        <v>195</v>
      </c>
      <c r="C60" s="7" t="s">
        <v>196</v>
      </c>
      <c r="D60" s="7" t="s">
        <v>172</v>
      </c>
      <c r="E60" s="7" t="s">
        <v>17</v>
      </c>
      <c r="F60" s="7" t="s">
        <v>18</v>
      </c>
      <c r="G60" s="7" t="s">
        <v>173</v>
      </c>
      <c r="H60" s="34">
        <v>46185</v>
      </c>
      <c r="I60" s="34">
        <v>46185</v>
      </c>
      <c r="J60" s="35"/>
      <c r="K60" s="7"/>
    </row>
    <row r="61" spans="1:11" s="10" customFormat="1" x14ac:dyDescent="0.3">
      <c r="A61" s="14" t="s">
        <v>197</v>
      </c>
      <c r="B61" s="7" t="s">
        <v>198</v>
      </c>
      <c r="C61" s="7" t="s">
        <v>199</v>
      </c>
      <c r="D61" s="7" t="s">
        <v>172</v>
      </c>
      <c r="E61" s="7" t="s">
        <v>17</v>
      </c>
      <c r="F61" s="7" t="s">
        <v>18</v>
      </c>
      <c r="G61" s="7" t="s">
        <v>173</v>
      </c>
      <c r="H61" s="34">
        <v>46185</v>
      </c>
      <c r="I61" s="34">
        <v>46185</v>
      </c>
    </row>
    <row r="62" spans="1:11" s="10" customFormat="1" ht="28.8" x14ac:dyDescent="0.3">
      <c r="A62" s="14" t="s">
        <v>200</v>
      </c>
      <c r="B62" s="10" t="s">
        <v>198</v>
      </c>
      <c r="C62" s="10" t="s">
        <v>201</v>
      </c>
      <c r="D62" s="7" t="s">
        <v>172</v>
      </c>
      <c r="E62" s="7" t="s">
        <v>34</v>
      </c>
      <c r="F62" s="7" t="s">
        <v>18</v>
      </c>
      <c r="G62" s="7" t="s">
        <v>173</v>
      </c>
      <c r="H62" s="34">
        <v>46185</v>
      </c>
      <c r="I62" s="34">
        <v>46185</v>
      </c>
    </row>
    <row r="63" spans="1:11" s="10" customFormat="1" ht="28.8" x14ac:dyDescent="0.3">
      <c r="A63" s="14" t="s">
        <v>202</v>
      </c>
      <c r="B63" s="10" t="s">
        <v>198</v>
      </c>
      <c r="C63" s="10" t="s">
        <v>203</v>
      </c>
      <c r="D63" s="7" t="s">
        <v>172</v>
      </c>
      <c r="E63" s="10" t="s">
        <v>65</v>
      </c>
      <c r="F63" s="7" t="s">
        <v>18</v>
      </c>
      <c r="G63" s="7" t="s">
        <v>173</v>
      </c>
      <c r="H63" s="34">
        <v>46185</v>
      </c>
      <c r="I63" s="36"/>
    </row>
    <row r="64" spans="1:11" s="10" customFormat="1" ht="28.8" x14ac:dyDescent="0.3">
      <c r="A64" s="14" t="s">
        <v>204</v>
      </c>
      <c r="B64" s="10" t="s">
        <v>198</v>
      </c>
      <c r="C64" s="10" t="s">
        <v>205</v>
      </c>
      <c r="D64" s="7" t="s">
        <v>172</v>
      </c>
      <c r="E64" s="7" t="s">
        <v>34</v>
      </c>
      <c r="F64" s="7" t="s">
        <v>18</v>
      </c>
      <c r="G64" s="7" t="s">
        <v>173</v>
      </c>
      <c r="H64" s="34">
        <v>46185</v>
      </c>
      <c r="I64" s="76">
        <v>46186</v>
      </c>
    </row>
    <row r="65" spans="1:11" x14ac:dyDescent="0.3">
      <c r="A65" s="38" t="s">
        <v>206</v>
      </c>
      <c r="B65" s="10" t="s">
        <v>207</v>
      </c>
      <c r="C65" s="10" t="s">
        <v>208</v>
      </c>
      <c r="D65" s="7" t="s">
        <v>172</v>
      </c>
      <c r="E65" s="7" t="s">
        <v>34</v>
      </c>
      <c r="F65" s="7" t="s">
        <v>18</v>
      </c>
      <c r="G65" s="7" t="s">
        <v>173</v>
      </c>
      <c r="H65" s="34">
        <v>46185</v>
      </c>
      <c r="I65" s="37">
        <v>46185</v>
      </c>
    </row>
    <row r="66" spans="1:11" ht="72" x14ac:dyDescent="0.3">
      <c r="A66" s="7" t="s">
        <v>209</v>
      </c>
      <c r="B66" s="7" t="s">
        <v>210</v>
      </c>
      <c r="C66" s="7" t="s">
        <v>211</v>
      </c>
      <c r="D66" s="7" t="s">
        <v>212</v>
      </c>
      <c r="E66" s="7" t="s">
        <v>34</v>
      </c>
      <c r="F66" s="7" t="s">
        <v>18</v>
      </c>
      <c r="G66" s="7" t="s">
        <v>213</v>
      </c>
      <c r="H66" s="34">
        <v>46185</v>
      </c>
      <c r="I66" s="34">
        <v>46185</v>
      </c>
      <c r="J66" s="37">
        <v>46185</v>
      </c>
      <c r="K66" s="7" t="s">
        <v>214</v>
      </c>
    </row>
    <row r="67" spans="1:11" ht="43.2" x14ac:dyDescent="0.3">
      <c r="A67" s="7" t="s">
        <v>215</v>
      </c>
      <c r="B67" s="7" t="s">
        <v>210</v>
      </c>
      <c r="C67" s="7" t="s">
        <v>216</v>
      </c>
      <c r="D67" s="7" t="s">
        <v>212</v>
      </c>
      <c r="E67" s="7" t="s">
        <v>34</v>
      </c>
      <c r="F67" s="7" t="s">
        <v>18</v>
      </c>
      <c r="G67" s="7" t="s">
        <v>213</v>
      </c>
      <c r="H67" s="34">
        <v>46185</v>
      </c>
      <c r="I67" s="34">
        <v>46185</v>
      </c>
      <c r="J67" s="37">
        <v>46185</v>
      </c>
      <c r="K67" s="7" t="s">
        <v>217</v>
      </c>
    </row>
    <row r="68" spans="1:11" ht="72" x14ac:dyDescent="0.3">
      <c r="A68" s="7" t="s">
        <v>218</v>
      </c>
      <c r="B68" s="7" t="s">
        <v>219</v>
      </c>
      <c r="C68" s="7" t="s">
        <v>220</v>
      </c>
      <c r="D68" s="7" t="s">
        <v>212</v>
      </c>
      <c r="E68" s="7" t="s">
        <v>65</v>
      </c>
      <c r="F68" s="7" t="s">
        <v>18</v>
      </c>
      <c r="G68" s="7" t="s">
        <v>213</v>
      </c>
      <c r="H68" s="34">
        <v>46185</v>
      </c>
      <c r="I68" s="34">
        <v>46185</v>
      </c>
      <c r="J68" s="37">
        <v>46185</v>
      </c>
      <c r="K68" s="7" t="s">
        <v>221</v>
      </c>
    </row>
    <row r="69" spans="1:11" ht="57.6" x14ac:dyDescent="0.3">
      <c r="A69" s="14" t="s">
        <v>222</v>
      </c>
      <c r="B69" s="14" t="s">
        <v>223</v>
      </c>
      <c r="C69" s="14" t="s">
        <v>224</v>
      </c>
      <c r="D69" s="14" t="s">
        <v>212</v>
      </c>
      <c r="E69" s="14" t="s">
        <v>34</v>
      </c>
      <c r="F69" s="14" t="s">
        <v>18</v>
      </c>
      <c r="G69" s="14" t="s">
        <v>213</v>
      </c>
      <c r="H69" s="37">
        <v>46185</v>
      </c>
      <c r="I69" s="37">
        <v>46185</v>
      </c>
      <c r="J69" s="37">
        <v>46185</v>
      </c>
      <c r="K69" s="14" t="s">
        <v>225</v>
      </c>
    </row>
    <row r="70" spans="1:11" ht="57.6" x14ac:dyDescent="0.3">
      <c r="A70" s="30" t="s">
        <v>226</v>
      </c>
      <c r="B70" s="30" t="s">
        <v>227</v>
      </c>
      <c r="C70" s="30" t="s">
        <v>228</v>
      </c>
      <c r="D70" s="30" t="s">
        <v>212</v>
      </c>
      <c r="E70" s="30" t="s">
        <v>17</v>
      </c>
      <c r="F70" s="30" t="s">
        <v>18</v>
      </c>
      <c r="G70" s="30" t="s">
        <v>213</v>
      </c>
      <c r="H70" s="37">
        <v>46185</v>
      </c>
      <c r="I70" s="37">
        <v>46185</v>
      </c>
      <c r="J70" s="37">
        <v>46185</v>
      </c>
      <c r="K70" s="30" t="s">
        <v>229</v>
      </c>
    </row>
    <row r="71" spans="1:11" ht="57.6" x14ac:dyDescent="0.3">
      <c r="A71" s="14" t="s">
        <v>230</v>
      </c>
      <c r="B71" s="14" t="s">
        <v>231</v>
      </c>
      <c r="C71" s="14" t="s">
        <v>232</v>
      </c>
      <c r="D71" s="14" t="s">
        <v>212</v>
      </c>
      <c r="E71" s="14" t="s">
        <v>34</v>
      </c>
      <c r="F71" s="14" t="s">
        <v>18</v>
      </c>
      <c r="G71" s="14" t="s">
        <v>213</v>
      </c>
      <c r="H71" s="37">
        <v>46185</v>
      </c>
      <c r="I71" s="37">
        <v>46185</v>
      </c>
      <c r="J71" s="39">
        <v>46185</v>
      </c>
      <c r="K71" s="14" t="s">
        <v>233</v>
      </c>
    </row>
    <row r="72" spans="1:11" ht="72" x14ac:dyDescent="0.3">
      <c r="A72" s="14" t="s">
        <v>234</v>
      </c>
      <c r="B72" s="14" t="s">
        <v>235</v>
      </c>
      <c r="C72" s="14" t="s">
        <v>236</v>
      </c>
      <c r="D72" s="14" t="s">
        <v>212</v>
      </c>
      <c r="E72" s="14" t="s">
        <v>34</v>
      </c>
      <c r="F72" s="14" t="s">
        <v>18</v>
      </c>
      <c r="G72" s="14" t="s">
        <v>213</v>
      </c>
      <c r="H72" s="37">
        <v>46185</v>
      </c>
      <c r="I72" s="37">
        <v>46185</v>
      </c>
      <c r="J72" s="39">
        <v>46185</v>
      </c>
      <c r="K72" s="14" t="s">
        <v>237</v>
      </c>
    </row>
    <row r="73" spans="1:11" x14ac:dyDescent="0.3">
      <c r="A73" s="38" t="s">
        <v>238</v>
      </c>
      <c r="B73" s="10" t="s">
        <v>239</v>
      </c>
      <c r="C73" s="38" t="s">
        <v>240</v>
      </c>
      <c r="D73" s="38" t="s">
        <v>241</v>
      </c>
      <c r="E73" s="38" t="s">
        <v>34</v>
      </c>
      <c r="F73" s="38" t="s">
        <v>242</v>
      </c>
      <c r="G73" s="38" t="s">
        <v>243</v>
      </c>
      <c r="H73" s="37">
        <v>46185</v>
      </c>
      <c r="I73" s="37">
        <v>46186</v>
      </c>
    </row>
    <row r="74" spans="1:11" x14ac:dyDescent="0.3">
      <c r="A74" s="38" t="s">
        <v>244</v>
      </c>
      <c r="B74" s="10" t="s">
        <v>239</v>
      </c>
      <c r="C74" s="38" t="s">
        <v>245</v>
      </c>
      <c r="D74" s="38" t="s">
        <v>241</v>
      </c>
      <c r="E74" s="38" t="s">
        <v>17</v>
      </c>
      <c r="F74" s="38" t="s">
        <v>242</v>
      </c>
      <c r="G74" s="38" t="s">
        <v>243</v>
      </c>
      <c r="H74" s="37">
        <v>46185</v>
      </c>
      <c r="I74" s="37">
        <v>46189</v>
      </c>
    </row>
    <row r="75" spans="1:11" ht="48.75" customHeight="1" x14ac:dyDescent="0.3">
      <c r="A75" s="38" t="s">
        <v>246</v>
      </c>
      <c r="B75" s="10" t="s">
        <v>247</v>
      </c>
      <c r="C75" s="38" t="s">
        <v>248</v>
      </c>
      <c r="D75" s="38" t="s">
        <v>241</v>
      </c>
      <c r="E75" s="38" t="s">
        <v>17</v>
      </c>
      <c r="F75" s="38" t="s">
        <v>242</v>
      </c>
      <c r="G75" s="38" t="s">
        <v>243</v>
      </c>
      <c r="H75" s="37">
        <v>46185</v>
      </c>
      <c r="I75" s="37">
        <v>46218</v>
      </c>
    </row>
    <row r="76" spans="1:11" x14ac:dyDescent="0.3">
      <c r="A76" s="38" t="s">
        <v>249</v>
      </c>
      <c r="B76" s="10" t="s">
        <v>250</v>
      </c>
      <c r="C76" s="38" t="s">
        <v>251</v>
      </c>
      <c r="D76" s="38" t="s">
        <v>241</v>
      </c>
      <c r="E76" s="38" t="s">
        <v>17</v>
      </c>
      <c r="F76" s="38" t="s">
        <v>242</v>
      </c>
      <c r="G76" s="38" t="s">
        <v>243</v>
      </c>
      <c r="H76" s="37">
        <v>46185</v>
      </c>
      <c r="I76" s="37">
        <v>46187</v>
      </c>
    </row>
    <row r="77" spans="1:11" ht="43.2" x14ac:dyDescent="0.3">
      <c r="A77" s="38" t="s">
        <v>252</v>
      </c>
      <c r="B77" s="68" t="s">
        <v>239</v>
      </c>
      <c r="C77" s="38" t="s">
        <v>253</v>
      </c>
      <c r="D77" s="38" t="s">
        <v>241</v>
      </c>
      <c r="E77" s="38" t="s">
        <v>17</v>
      </c>
      <c r="F77" s="38" t="s">
        <v>18</v>
      </c>
      <c r="G77" s="38" t="s">
        <v>243</v>
      </c>
      <c r="H77" s="37">
        <v>46185</v>
      </c>
      <c r="I77" s="37">
        <v>46187</v>
      </c>
    </row>
    <row r="78" spans="1:11" ht="43.2" x14ac:dyDescent="0.3">
      <c r="A78" s="38" t="s">
        <v>254</v>
      </c>
      <c r="B78" s="68" t="s">
        <v>239</v>
      </c>
      <c r="C78" s="38" t="s">
        <v>255</v>
      </c>
      <c r="D78" s="38" t="s">
        <v>241</v>
      </c>
      <c r="E78" s="38" t="s">
        <v>17</v>
      </c>
      <c r="F78" s="38" t="s">
        <v>18</v>
      </c>
      <c r="G78" s="38" t="s">
        <v>243</v>
      </c>
      <c r="H78" s="37">
        <v>46185</v>
      </c>
      <c r="I78" s="37">
        <v>46187</v>
      </c>
    </row>
    <row r="79" spans="1:11" ht="57.6" x14ac:dyDescent="0.3">
      <c r="A79" s="38" t="s">
        <v>256</v>
      </c>
      <c r="B79" s="68" t="s">
        <v>239</v>
      </c>
      <c r="C79" s="38" t="s">
        <v>257</v>
      </c>
      <c r="D79" s="38" t="s">
        <v>241</v>
      </c>
      <c r="E79" s="38" t="s">
        <v>17</v>
      </c>
      <c r="F79" s="38" t="s">
        <v>18</v>
      </c>
      <c r="G79" s="38" t="s">
        <v>243</v>
      </c>
      <c r="H79" s="37">
        <v>46185</v>
      </c>
      <c r="I79" s="37">
        <v>46187</v>
      </c>
    </row>
    <row r="80" spans="1:11" s="89" customFormat="1" ht="27.6" x14ac:dyDescent="0.3">
      <c r="A80" s="86" t="s">
        <v>258</v>
      </c>
      <c r="B80" s="87" t="s">
        <v>259</v>
      </c>
      <c r="C80" s="87" t="s">
        <v>260</v>
      </c>
      <c r="D80" s="87" t="s">
        <v>212</v>
      </c>
      <c r="E80" s="87" t="s">
        <v>34</v>
      </c>
      <c r="F80" s="87" t="s">
        <v>18</v>
      </c>
      <c r="G80" s="87" t="s">
        <v>173</v>
      </c>
      <c r="H80" s="88">
        <v>46186</v>
      </c>
      <c r="I80" s="88">
        <v>46186</v>
      </c>
      <c r="J80" s="88">
        <v>46186</v>
      </c>
      <c r="K80" s="87" t="s">
        <v>261</v>
      </c>
    </row>
    <row r="81" spans="1:11" s="89" customFormat="1" ht="27.6" x14ac:dyDescent="0.3">
      <c r="A81" s="90" t="s">
        <v>262</v>
      </c>
      <c r="B81" s="91" t="s">
        <v>259</v>
      </c>
      <c r="C81" s="91" t="s">
        <v>263</v>
      </c>
      <c r="D81" s="91" t="s">
        <v>212</v>
      </c>
      <c r="E81" s="91" t="s">
        <v>17</v>
      </c>
      <c r="F81" s="91" t="s">
        <v>18</v>
      </c>
      <c r="G81" s="91" t="s">
        <v>173</v>
      </c>
      <c r="H81" s="92">
        <v>46186</v>
      </c>
      <c r="I81" s="92">
        <v>46186</v>
      </c>
      <c r="J81" s="92">
        <v>46186</v>
      </c>
      <c r="K81" s="91" t="s">
        <v>264</v>
      </c>
    </row>
    <row r="82" spans="1:11" s="89" customFormat="1" ht="27.6" x14ac:dyDescent="0.3">
      <c r="A82" s="86" t="s">
        <v>265</v>
      </c>
      <c r="B82" s="87" t="s">
        <v>266</v>
      </c>
      <c r="C82" s="87" t="s">
        <v>267</v>
      </c>
      <c r="D82" s="87" t="s">
        <v>212</v>
      </c>
      <c r="E82" s="87" t="s">
        <v>34</v>
      </c>
      <c r="F82" s="87" t="s">
        <v>18</v>
      </c>
      <c r="G82" s="87" t="s">
        <v>173</v>
      </c>
      <c r="H82" s="88">
        <v>46186</v>
      </c>
      <c r="I82" s="88">
        <v>46186</v>
      </c>
      <c r="J82" s="88">
        <v>46186</v>
      </c>
      <c r="K82" s="87" t="s">
        <v>268</v>
      </c>
    </row>
    <row r="83" spans="1:11" s="85" customFormat="1" x14ac:dyDescent="0.3">
      <c r="A83" s="82"/>
      <c r="B83" s="82"/>
      <c r="C83" s="82"/>
      <c r="D83" s="82"/>
      <c r="E83" s="83"/>
      <c r="F83" s="83"/>
      <c r="G83" s="82"/>
      <c r="H83" s="84"/>
      <c r="I83" s="84"/>
      <c r="J83" s="84"/>
      <c r="K83" s="82"/>
    </row>
    <row r="84" spans="1:11" s="85" customFormat="1" x14ac:dyDescent="0.3">
      <c r="A84" s="82"/>
      <c r="B84" s="82"/>
      <c r="C84" s="82"/>
      <c r="D84" s="82"/>
      <c r="E84" s="83"/>
      <c r="F84" s="83"/>
      <c r="G84" s="82"/>
      <c r="H84" s="84"/>
      <c r="I84" s="84"/>
      <c r="J84" s="84"/>
      <c r="K84" s="82"/>
    </row>
    <row r="85" spans="1:11" s="85" customFormat="1" x14ac:dyDescent="0.3">
      <c r="A85" s="82"/>
      <c r="B85" s="82"/>
      <c r="C85" s="82"/>
      <c r="D85" s="82"/>
      <c r="E85" s="83"/>
      <c r="F85" s="83"/>
      <c r="G85" s="82"/>
      <c r="H85" s="84"/>
      <c r="I85" s="84"/>
      <c r="J85" s="84"/>
      <c r="K85" s="82"/>
    </row>
    <row r="86" spans="1:11" s="85" customFormat="1" x14ac:dyDescent="0.3">
      <c r="A86" s="82"/>
      <c r="B86" s="82"/>
      <c r="C86" s="82"/>
      <c r="D86" s="82"/>
      <c r="E86" s="83"/>
      <c r="F86" s="83"/>
      <c r="G86" s="82"/>
      <c r="H86" s="84"/>
      <c r="I86" s="84"/>
      <c r="J86" s="84"/>
      <c r="K86" s="82"/>
    </row>
    <row r="87" spans="1:11" s="85" customFormat="1" x14ac:dyDescent="0.3">
      <c r="A87" s="82"/>
      <c r="B87" s="82"/>
      <c r="C87" s="82"/>
      <c r="D87" s="82"/>
      <c r="E87" s="83"/>
      <c r="F87" s="83"/>
      <c r="G87" s="82"/>
      <c r="H87" s="84"/>
      <c r="I87" s="84"/>
      <c r="J87" s="84"/>
      <c r="K87" s="82"/>
    </row>
    <row r="88" spans="1:11" x14ac:dyDescent="0.3">
      <c r="A88" s="69"/>
      <c r="B88" s="69"/>
      <c r="C88" s="69"/>
      <c r="D88" s="69"/>
      <c r="E88" s="69"/>
      <c r="F88" s="69"/>
      <c r="G88" s="69"/>
      <c r="H88" s="69"/>
      <c r="I88" s="69"/>
      <c r="J88" s="69"/>
      <c r="K88" s="69"/>
    </row>
  </sheetData>
  <conditionalFormatting sqref="J61:K62 B62:C64 E63 I63:K64 A65:C65 J65:K65 A73:G76 J73:K79 A77:A79 C77:G79 A89:K505">
    <cfRule type="expression" priority="1">
      <formula>AND($I61&lt;TODAY(),$F61&lt;&gt;"Completed",$F61&lt;&gt;"Closed")</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94"/>
  <sheetViews>
    <sheetView tabSelected="1" zoomScale="85" zoomScaleNormal="85" workbookViewId="0">
      <selection activeCell="C67" sqref="C67"/>
    </sheetView>
  </sheetViews>
  <sheetFormatPr defaultColWidth="9.109375" defaultRowHeight="14.4" x14ac:dyDescent="0.3"/>
  <cols>
    <col min="1" max="1" width="7.6640625" style="5" bestFit="1" customWidth="1"/>
    <col min="2" max="2" width="30.44140625" style="5" bestFit="1" customWidth="1"/>
    <col min="3" max="3" width="87" style="10" customWidth="1"/>
    <col min="4" max="4" width="26.88671875" style="5" bestFit="1" customWidth="1"/>
    <col min="5" max="5" width="13.109375" style="5" bestFit="1" customWidth="1"/>
    <col min="6" max="6" width="45.5546875" style="5" bestFit="1" customWidth="1"/>
    <col min="7" max="7" width="10.109375" style="5" bestFit="1" customWidth="1"/>
    <col min="8" max="8" width="10.44140625" style="5" bestFit="1" customWidth="1"/>
    <col min="9" max="9" width="10.109375" style="5" bestFit="1" customWidth="1"/>
    <col min="10" max="10" width="10.44140625" style="5" bestFit="1" customWidth="1"/>
    <col min="11" max="11" width="74.5546875" style="10" bestFit="1" customWidth="1"/>
    <col min="12" max="12" width="9.109375" style="5"/>
    <col min="13" max="13" width="7.6640625" style="5" bestFit="1" customWidth="1"/>
    <col min="14" max="14" width="14" style="5" bestFit="1" customWidth="1"/>
    <col min="15" max="15" width="12" style="5" customWidth="1"/>
    <col min="16" max="16" width="9.33203125" style="5" bestFit="1" customWidth="1"/>
    <col min="17" max="17" width="9.44140625" style="5" customWidth="1"/>
    <col min="18" max="18" width="9.109375" style="5"/>
    <col min="19" max="19" width="6.88671875" style="5" bestFit="1" customWidth="1"/>
    <col min="20" max="20" width="12.5546875" style="5" bestFit="1" customWidth="1"/>
    <col min="21" max="21" width="11.33203125" style="5" bestFit="1" customWidth="1"/>
    <col min="22" max="22" width="17.44140625" style="5" bestFit="1" customWidth="1"/>
    <col min="23" max="23" width="8.5546875" style="5" bestFit="1" customWidth="1"/>
    <col min="24" max="16384" width="9.109375" style="5"/>
  </cols>
  <sheetData>
    <row r="1" spans="1:23" x14ac:dyDescent="0.3">
      <c r="A1" s="3" t="s">
        <v>269</v>
      </c>
      <c r="B1" s="3" t="s">
        <v>387</v>
      </c>
      <c r="C1" s="4" t="s">
        <v>270</v>
      </c>
      <c r="D1" s="3" t="s">
        <v>271</v>
      </c>
      <c r="E1" s="3" t="s">
        <v>272</v>
      </c>
      <c r="F1" s="3" t="s">
        <v>6</v>
      </c>
      <c r="G1" s="3" t="s">
        <v>5</v>
      </c>
      <c r="H1" s="3" t="s">
        <v>273</v>
      </c>
      <c r="I1" s="3" t="s">
        <v>274</v>
      </c>
      <c r="J1" s="3" t="s">
        <v>275</v>
      </c>
      <c r="K1" s="4" t="s">
        <v>276</v>
      </c>
      <c r="M1" s="6"/>
      <c r="N1" s="6"/>
      <c r="O1" s="6"/>
      <c r="P1" s="6"/>
      <c r="Q1" s="3"/>
      <c r="R1" s="3"/>
      <c r="S1" s="3"/>
      <c r="T1" s="3"/>
      <c r="U1" s="3"/>
      <c r="V1" s="3"/>
      <c r="W1" s="3"/>
    </row>
    <row r="2" spans="1:23" ht="28.8" x14ac:dyDescent="0.3">
      <c r="A2" s="5">
        <v>1</v>
      </c>
      <c r="B2" s="5" t="s">
        <v>562</v>
      </c>
      <c r="C2" s="7" t="s">
        <v>277</v>
      </c>
      <c r="D2" s="8" t="s">
        <v>278</v>
      </c>
      <c r="E2" s="8" t="s">
        <v>279</v>
      </c>
      <c r="F2" s="8" t="s">
        <v>213</v>
      </c>
      <c r="G2" s="8" t="s">
        <v>280</v>
      </c>
      <c r="H2" s="9">
        <v>46184</v>
      </c>
      <c r="I2" s="9">
        <v>46184</v>
      </c>
      <c r="J2" s="8">
        <v>0</v>
      </c>
      <c r="K2" s="7" t="s">
        <v>281</v>
      </c>
    </row>
    <row r="3" spans="1:23" ht="43.2" x14ac:dyDescent="0.3">
      <c r="A3" s="5">
        <v>2</v>
      </c>
      <c r="B3" s="5" t="s">
        <v>562</v>
      </c>
      <c r="C3" s="7" t="s">
        <v>282</v>
      </c>
      <c r="D3" s="8" t="s">
        <v>283</v>
      </c>
      <c r="E3" s="8" t="s">
        <v>279</v>
      </c>
      <c r="F3" s="8" t="s">
        <v>213</v>
      </c>
      <c r="G3" s="8" t="s">
        <v>280</v>
      </c>
      <c r="H3" s="9">
        <v>46184</v>
      </c>
      <c r="I3" s="9">
        <v>46184</v>
      </c>
      <c r="J3" s="8">
        <v>0</v>
      </c>
      <c r="K3" s="7" t="s">
        <v>284</v>
      </c>
    </row>
    <row r="4" spans="1:23" ht="28.8" x14ac:dyDescent="0.3">
      <c r="A4" s="5">
        <v>3</v>
      </c>
      <c r="B4" s="5" t="s">
        <v>563</v>
      </c>
      <c r="C4" s="7" t="s">
        <v>285</v>
      </c>
      <c r="D4" s="8" t="s">
        <v>278</v>
      </c>
      <c r="E4" s="8" t="s">
        <v>279</v>
      </c>
      <c r="F4" s="8" t="s">
        <v>213</v>
      </c>
      <c r="G4" s="8" t="s">
        <v>280</v>
      </c>
      <c r="H4" s="9">
        <v>46184</v>
      </c>
      <c r="I4" s="9">
        <v>46184</v>
      </c>
      <c r="J4" s="8">
        <v>0</v>
      </c>
      <c r="K4" s="7" t="s">
        <v>286</v>
      </c>
    </row>
    <row r="5" spans="1:23" x14ac:dyDescent="0.3">
      <c r="A5" s="5">
        <v>4</v>
      </c>
      <c r="B5" s="5" t="s">
        <v>566</v>
      </c>
      <c r="C5" s="7" t="s">
        <v>287</v>
      </c>
      <c r="D5" s="8" t="s">
        <v>278</v>
      </c>
      <c r="E5" s="8" t="s">
        <v>213</v>
      </c>
      <c r="F5" s="8" t="s">
        <v>213</v>
      </c>
      <c r="G5" s="8" t="s">
        <v>280</v>
      </c>
      <c r="H5" s="9">
        <v>46184</v>
      </c>
      <c r="I5" s="9">
        <v>46184</v>
      </c>
      <c r="J5" s="8">
        <v>0</v>
      </c>
      <c r="K5" s="7" t="s">
        <v>288</v>
      </c>
    </row>
    <row r="6" spans="1:23" ht="68.25" customHeight="1" x14ac:dyDescent="0.3">
      <c r="A6" s="5">
        <v>5</v>
      </c>
      <c r="B6" s="5" t="s">
        <v>566</v>
      </c>
      <c r="C6" s="7" t="s">
        <v>289</v>
      </c>
      <c r="D6" s="8" t="s">
        <v>283</v>
      </c>
      <c r="E6" s="8" t="s">
        <v>279</v>
      </c>
      <c r="F6" s="8" t="s">
        <v>213</v>
      </c>
      <c r="G6" s="8" t="s">
        <v>280</v>
      </c>
      <c r="H6" s="9">
        <v>46184</v>
      </c>
      <c r="I6" s="9">
        <v>46184</v>
      </c>
      <c r="J6" s="8">
        <v>0</v>
      </c>
      <c r="K6" s="7" t="s">
        <v>290</v>
      </c>
    </row>
    <row r="7" spans="1:23" ht="28.8" x14ac:dyDescent="0.3">
      <c r="A7" s="5">
        <v>6</v>
      </c>
      <c r="B7" s="5" t="s">
        <v>567</v>
      </c>
      <c r="C7" s="7" t="s">
        <v>291</v>
      </c>
      <c r="D7" s="8" t="s">
        <v>283</v>
      </c>
      <c r="E7" s="8" t="s">
        <v>279</v>
      </c>
      <c r="F7" s="8" t="s">
        <v>213</v>
      </c>
      <c r="G7" s="8" t="s">
        <v>280</v>
      </c>
      <c r="H7" s="9">
        <v>46184</v>
      </c>
      <c r="I7" s="9">
        <v>46184</v>
      </c>
      <c r="J7" s="8">
        <v>0</v>
      </c>
      <c r="K7" s="7" t="s">
        <v>292</v>
      </c>
    </row>
    <row r="8" spans="1:23" ht="28.8" x14ac:dyDescent="0.3">
      <c r="A8" s="5">
        <v>7</v>
      </c>
      <c r="B8" s="5" t="s">
        <v>568</v>
      </c>
      <c r="C8" s="7" t="s">
        <v>293</v>
      </c>
      <c r="D8" s="8" t="s">
        <v>283</v>
      </c>
      <c r="E8" s="8" t="s">
        <v>279</v>
      </c>
      <c r="F8" s="8" t="s">
        <v>213</v>
      </c>
      <c r="G8" s="8" t="s">
        <v>280</v>
      </c>
      <c r="H8" s="9">
        <v>46184</v>
      </c>
      <c r="I8" s="9">
        <v>46184</v>
      </c>
      <c r="J8" s="8">
        <v>0</v>
      </c>
      <c r="K8" s="7" t="s">
        <v>294</v>
      </c>
    </row>
    <row r="9" spans="1:23" ht="28.8" x14ac:dyDescent="0.3">
      <c r="A9" s="5">
        <v>8</v>
      </c>
      <c r="B9" s="5" t="s">
        <v>568</v>
      </c>
      <c r="C9" s="7" t="s">
        <v>295</v>
      </c>
      <c r="D9" s="8" t="s">
        <v>278</v>
      </c>
      <c r="E9" s="8" t="s">
        <v>279</v>
      </c>
      <c r="F9" s="8" t="s">
        <v>213</v>
      </c>
      <c r="G9" s="8" t="s">
        <v>280</v>
      </c>
      <c r="H9" s="9">
        <v>46184</v>
      </c>
      <c r="I9" s="9">
        <v>46184</v>
      </c>
      <c r="J9" s="8">
        <v>0</v>
      </c>
      <c r="K9" s="7" t="s">
        <v>296</v>
      </c>
    </row>
    <row r="10" spans="1:23" ht="57.6" x14ac:dyDescent="0.3">
      <c r="A10" s="5">
        <v>9</v>
      </c>
      <c r="B10" s="5" t="s">
        <v>569</v>
      </c>
      <c r="C10" s="7" t="s">
        <v>297</v>
      </c>
      <c r="D10" s="8" t="s">
        <v>283</v>
      </c>
      <c r="E10" s="8" t="s">
        <v>213</v>
      </c>
      <c r="F10" s="8" t="s">
        <v>213</v>
      </c>
      <c r="G10" s="8" t="s">
        <v>280</v>
      </c>
      <c r="H10" s="11">
        <v>46184</v>
      </c>
      <c r="I10" s="11">
        <v>46184</v>
      </c>
      <c r="J10" s="8">
        <v>0</v>
      </c>
      <c r="K10" s="7" t="s">
        <v>298</v>
      </c>
    </row>
    <row r="11" spans="1:23" ht="28.8" x14ac:dyDescent="0.3">
      <c r="A11" s="5">
        <v>10</v>
      </c>
      <c r="B11" s="5" t="s">
        <v>570</v>
      </c>
      <c r="C11" s="7" t="s">
        <v>299</v>
      </c>
      <c r="D11" s="8" t="s">
        <v>278</v>
      </c>
      <c r="E11" s="8" t="s">
        <v>213</v>
      </c>
      <c r="F11" s="8" t="s">
        <v>213</v>
      </c>
      <c r="G11" s="8" t="s">
        <v>280</v>
      </c>
      <c r="H11" s="11">
        <v>46184</v>
      </c>
      <c r="I11" s="11">
        <v>46184</v>
      </c>
      <c r="J11" s="8">
        <v>0</v>
      </c>
      <c r="K11" s="7" t="s">
        <v>300</v>
      </c>
    </row>
    <row r="12" spans="1:23" ht="43.2" x14ac:dyDescent="0.3">
      <c r="A12" s="5">
        <v>11</v>
      </c>
      <c r="B12" s="5" t="s">
        <v>571</v>
      </c>
      <c r="C12" s="7" t="s">
        <v>301</v>
      </c>
      <c r="D12" s="8" t="s">
        <v>283</v>
      </c>
      <c r="E12" s="8" t="s">
        <v>213</v>
      </c>
      <c r="F12" s="8" t="s">
        <v>213</v>
      </c>
      <c r="G12" s="8" t="s">
        <v>280</v>
      </c>
      <c r="H12" s="11">
        <v>46184</v>
      </c>
      <c r="I12" s="11">
        <v>46184</v>
      </c>
      <c r="J12" s="8">
        <v>0</v>
      </c>
      <c r="K12" s="7" t="s">
        <v>302</v>
      </c>
    </row>
    <row r="13" spans="1:23" ht="43.2" x14ac:dyDescent="0.3">
      <c r="A13" s="5">
        <v>12</v>
      </c>
      <c r="B13" s="5" t="s">
        <v>571</v>
      </c>
      <c r="C13" s="7" t="s">
        <v>303</v>
      </c>
      <c r="D13" s="8" t="s">
        <v>278</v>
      </c>
      <c r="E13" s="8" t="s">
        <v>213</v>
      </c>
      <c r="F13" s="8" t="s">
        <v>213</v>
      </c>
      <c r="G13" s="8" t="s">
        <v>280</v>
      </c>
      <c r="H13" s="11">
        <v>46184</v>
      </c>
      <c r="I13" s="11">
        <v>46184</v>
      </c>
      <c r="J13" s="8">
        <v>0</v>
      </c>
      <c r="K13" s="7" t="s">
        <v>304</v>
      </c>
    </row>
    <row r="14" spans="1:23" ht="43.2" x14ac:dyDescent="0.3">
      <c r="A14" s="5">
        <v>13</v>
      </c>
      <c r="B14" s="5" t="s">
        <v>572</v>
      </c>
      <c r="C14" s="7" t="s">
        <v>305</v>
      </c>
      <c r="D14" s="8" t="s">
        <v>283</v>
      </c>
      <c r="E14" s="8" t="s">
        <v>213</v>
      </c>
      <c r="F14" s="8" t="s">
        <v>213</v>
      </c>
      <c r="G14" s="8" t="s">
        <v>280</v>
      </c>
      <c r="H14" s="11">
        <v>46184</v>
      </c>
      <c r="I14" s="11">
        <v>46184</v>
      </c>
      <c r="J14" s="8">
        <v>0</v>
      </c>
      <c r="K14" s="7" t="s">
        <v>306</v>
      </c>
    </row>
    <row r="15" spans="1:23" ht="57.6" x14ac:dyDescent="0.3">
      <c r="A15" s="5">
        <v>14</v>
      </c>
      <c r="B15" s="5" t="s">
        <v>562</v>
      </c>
      <c r="C15" s="14" t="s">
        <v>307</v>
      </c>
      <c r="D15" s="15" t="s">
        <v>278</v>
      </c>
      <c r="E15" s="15" t="s">
        <v>308</v>
      </c>
      <c r="F15" s="15" t="s">
        <v>213</v>
      </c>
      <c r="G15" s="15" t="s">
        <v>18</v>
      </c>
      <c r="H15" s="16">
        <v>46185</v>
      </c>
      <c r="I15" s="16">
        <v>46185</v>
      </c>
      <c r="J15" s="15">
        <v>0</v>
      </c>
      <c r="K15" s="14" t="s">
        <v>309</v>
      </c>
    </row>
    <row r="16" spans="1:23" ht="81.75" customHeight="1" x14ac:dyDescent="0.3">
      <c r="A16" s="5">
        <v>15</v>
      </c>
      <c r="B16" s="5" t="s">
        <v>573</v>
      </c>
      <c r="C16" s="10" t="s">
        <v>310</v>
      </c>
      <c r="D16" s="15" t="s">
        <v>278</v>
      </c>
      <c r="E16" s="5" t="s">
        <v>243</v>
      </c>
      <c r="F16" s="5" t="s">
        <v>243</v>
      </c>
      <c r="G16" s="15" t="s">
        <v>18</v>
      </c>
      <c r="H16" s="73">
        <v>46185</v>
      </c>
      <c r="I16" s="73">
        <v>46185</v>
      </c>
      <c r="J16" s="5">
        <f t="shared" ref="J16:J26" ca="1" si="0">IF(H16="","",TODAY()-H16)</f>
        <v>2</v>
      </c>
    </row>
    <row r="17" spans="1:12" ht="57.6" x14ac:dyDescent="0.3">
      <c r="A17" s="5">
        <v>16</v>
      </c>
      <c r="B17" s="5" t="s">
        <v>573</v>
      </c>
      <c r="C17" s="10" t="s">
        <v>311</v>
      </c>
      <c r="D17" s="15" t="s">
        <v>278</v>
      </c>
      <c r="E17" s="5" t="s">
        <v>243</v>
      </c>
      <c r="F17" s="5" t="s">
        <v>243</v>
      </c>
      <c r="G17" s="15" t="s">
        <v>18</v>
      </c>
      <c r="H17" s="73">
        <v>46185</v>
      </c>
      <c r="I17" s="73">
        <v>46185</v>
      </c>
      <c r="J17" s="5">
        <f t="shared" ca="1" si="0"/>
        <v>2</v>
      </c>
    </row>
    <row r="18" spans="1:12" ht="57.6" x14ac:dyDescent="0.3">
      <c r="A18" s="5">
        <v>17</v>
      </c>
      <c r="B18" s="5" t="s">
        <v>573</v>
      </c>
      <c r="C18" s="10" t="s">
        <v>312</v>
      </c>
      <c r="D18" s="15" t="s">
        <v>278</v>
      </c>
      <c r="E18" s="5" t="s">
        <v>243</v>
      </c>
      <c r="F18" s="5" t="s">
        <v>243</v>
      </c>
      <c r="G18" s="15" t="s">
        <v>18</v>
      </c>
      <c r="H18" s="73">
        <v>46185</v>
      </c>
      <c r="I18" s="73">
        <v>46185</v>
      </c>
      <c r="J18" s="5">
        <f t="shared" ca="1" si="0"/>
        <v>2</v>
      </c>
    </row>
    <row r="19" spans="1:12" x14ac:dyDescent="0.3">
      <c r="A19" s="5">
        <v>18</v>
      </c>
      <c r="B19" s="5" t="s">
        <v>573</v>
      </c>
      <c r="C19" s="5" t="s">
        <v>313</v>
      </c>
      <c r="D19" s="15" t="s">
        <v>278</v>
      </c>
      <c r="E19" s="5" t="s">
        <v>243</v>
      </c>
      <c r="F19" s="5" t="s">
        <v>243</v>
      </c>
      <c r="G19" s="15" t="s">
        <v>18</v>
      </c>
      <c r="H19" s="73">
        <v>46185</v>
      </c>
      <c r="I19" s="73">
        <v>46185</v>
      </c>
      <c r="J19" s="5">
        <f t="shared" ca="1" si="0"/>
        <v>2</v>
      </c>
    </row>
    <row r="20" spans="1:12" x14ac:dyDescent="0.3">
      <c r="A20" s="5">
        <v>19</v>
      </c>
      <c r="B20" s="5" t="s">
        <v>573</v>
      </c>
      <c r="C20" s="5" t="s">
        <v>314</v>
      </c>
      <c r="D20" s="15" t="s">
        <v>278</v>
      </c>
      <c r="E20" s="5" t="s">
        <v>243</v>
      </c>
      <c r="F20" s="5" t="s">
        <v>243</v>
      </c>
      <c r="G20" s="15" t="s">
        <v>18</v>
      </c>
      <c r="H20" s="73">
        <v>46185</v>
      </c>
      <c r="I20" s="73">
        <v>46185</v>
      </c>
      <c r="J20" s="5">
        <f t="shared" ca="1" si="0"/>
        <v>2</v>
      </c>
    </row>
    <row r="21" spans="1:12" x14ac:dyDescent="0.3">
      <c r="A21" s="5">
        <v>20</v>
      </c>
      <c r="B21" s="5" t="s">
        <v>573</v>
      </c>
      <c r="C21" s="5" t="s">
        <v>315</v>
      </c>
      <c r="D21" s="15" t="s">
        <v>278</v>
      </c>
      <c r="E21" s="5" t="s">
        <v>243</v>
      </c>
      <c r="F21" s="5" t="s">
        <v>243</v>
      </c>
      <c r="G21" s="15" t="s">
        <v>18</v>
      </c>
      <c r="H21" s="73">
        <v>46185</v>
      </c>
      <c r="I21" s="73">
        <v>46185</v>
      </c>
      <c r="J21" s="5">
        <f t="shared" ca="1" si="0"/>
        <v>2</v>
      </c>
    </row>
    <row r="22" spans="1:12" x14ac:dyDescent="0.3">
      <c r="A22" s="5">
        <v>21</v>
      </c>
      <c r="B22" s="5" t="s">
        <v>573</v>
      </c>
      <c r="C22" s="5" t="s">
        <v>316</v>
      </c>
      <c r="D22" s="15" t="s">
        <v>278</v>
      </c>
      <c r="E22" s="5" t="s">
        <v>243</v>
      </c>
      <c r="F22" s="5" t="s">
        <v>243</v>
      </c>
      <c r="G22" s="15" t="s">
        <v>18</v>
      </c>
      <c r="H22" s="73">
        <v>46185</v>
      </c>
      <c r="I22" s="73">
        <v>46185</v>
      </c>
      <c r="J22" s="5">
        <f t="shared" ca="1" si="0"/>
        <v>2</v>
      </c>
    </row>
    <row r="23" spans="1:12" x14ac:dyDescent="0.3">
      <c r="A23" s="5">
        <v>22</v>
      </c>
      <c r="B23" s="5" t="s">
        <v>573</v>
      </c>
      <c r="C23" s="5" t="s">
        <v>317</v>
      </c>
      <c r="D23" s="15" t="s">
        <v>278</v>
      </c>
      <c r="E23" s="5" t="s">
        <v>243</v>
      </c>
      <c r="F23" s="5" t="s">
        <v>243</v>
      </c>
      <c r="G23" s="15" t="s">
        <v>18</v>
      </c>
      <c r="H23" s="73">
        <v>46185</v>
      </c>
      <c r="I23" s="73">
        <v>46185</v>
      </c>
      <c r="J23" s="5">
        <f t="shared" ca="1" si="0"/>
        <v>2</v>
      </c>
    </row>
    <row r="24" spans="1:12" x14ac:dyDescent="0.3">
      <c r="A24" s="5">
        <v>23</v>
      </c>
      <c r="B24" s="5" t="s">
        <v>573</v>
      </c>
      <c r="C24" s="5" t="s">
        <v>318</v>
      </c>
      <c r="D24" s="15" t="s">
        <v>278</v>
      </c>
      <c r="E24" s="5" t="s">
        <v>243</v>
      </c>
      <c r="F24" s="5" t="s">
        <v>243</v>
      </c>
      <c r="G24" s="15" t="s">
        <v>18</v>
      </c>
      <c r="H24" s="73">
        <v>46185</v>
      </c>
      <c r="I24" s="73">
        <v>46185</v>
      </c>
      <c r="J24" s="5">
        <f t="shared" ca="1" si="0"/>
        <v>2</v>
      </c>
    </row>
    <row r="25" spans="1:12" ht="43.2" x14ac:dyDescent="0.3">
      <c r="A25" s="5">
        <v>24</v>
      </c>
      <c r="B25" s="5" t="s">
        <v>573</v>
      </c>
      <c r="C25" s="10" t="s">
        <v>319</v>
      </c>
      <c r="D25" s="15" t="s">
        <v>278</v>
      </c>
      <c r="E25" s="5" t="s">
        <v>243</v>
      </c>
      <c r="F25" s="5" t="s">
        <v>243</v>
      </c>
      <c r="G25" s="15" t="s">
        <v>18</v>
      </c>
      <c r="H25" s="73">
        <v>46185</v>
      </c>
      <c r="I25" s="73">
        <v>46185</v>
      </c>
      <c r="J25" s="5">
        <f t="shared" ca="1" si="0"/>
        <v>2</v>
      </c>
    </row>
    <row r="26" spans="1:12" ht="57.6" x14ac:dyDescent="0.3">
      <c r="A26" s="5">
        <v>25</v>
      </c>
      <c r="B26" s="5" t="s">
        <v>573</v>
      </c>
      <c r="C26" s="10" t="s">
        <v>320</v>
      </c>
      <c r="D26" s="15" t="s">
        <v>278</v>
      </c>
      <c r="E26" s="5" t="s">
        <v>243</v>
      </c>
      <c r="F26" s="5" t="s">
        <v>243</v>
      </c>
      <c r="G26" s="15" t="s">
        <v>18</v>
      </c>
      <c r="H26" s="73">
        <v>46185</v>
      </c>
      <c r="I26" s="73">
        <v>46185</v>
      </c>
      <c r="J26" s="5">
        <f t="shared" ca="1" si="0"/>
        <v>2</v>
      </c>
    </row>
    <row r="27" spans="1:12" ht="72" x14ac:dyDescent="0.3">
      <c r="A27" s="5">
        <v>26</v>
      </c>
      <c r="B27" s="5" t="s">
        <v>573</v>
      </c>
      <c r="C27" s="10" t="s">
        <v>321</v>
      </c>
      <c r="D27" s="15" t="s">
        <v>278</v>
      </c>
      <c r="E27" s="5" t="s">
        <v>243</v>
      </c>
      <c r="F27" s="5" t="s">
        <v>243</v>
      </c>
      <c r="G27" s="15" t="s">
        <v>18</v>
      </c>
      <c r="H27" s="73">
        <v>46185</v>
      </c>
      <c r="I27" s="73">
        <v>46185</v>
      </c>
      <c r="J27" s="5">
        <f t="shared" ref="J27:J58" ca="1" si="1">IF(H27="","",TODAY()-H27)</f>
        <v>2</v>
      </c>
    </row>
    <row r="28" spans="1:12" ht="57.6" x14ac:dyDescent="0.3">
      <c r="A28" s="5">
        <v>27</v>
      </c>
      <c r="B28" s="5" t="s">
        <v>573</v>
      </c>
      <c r="C28" s="10" t="s">
        <v>322</v>
      </c>
      <c r="D28" s="15" t="s">
        <v>278</v>
      </c>
      <c r="E28" s="5" t="s">
        <v>243</v>
      </c>
      <c r="F28" s="5" t="s">
        <v>243</v>
      </c>
      <c r="G28" s="15" t="s">
        <v>18</v>
      </c>
      <c r="H28" s="73">
        <v>46185</v>
      </c>
      <c r="I28" s="73">
        <v>46185</v>
      </c>
      <c r="J28" s="5">
        <f t="shared" ca="1" si="1"/>
        <v>2</v>
      </c>
    </row>
    <row r="29" spans="1:12" ht="43.2" x14ac:dyDescent="0.3">
      <c r="A29" s="5">
        <v>28</v>
      </c>
      <c r="B29" s="5" t="s">
        <v>573</v>
      </c>
      <c r="C29" s="14" t="s">
        <v>323</v>
      </c>
      <c r="D29" s="15" t="s">
        <v>324</v>
      </c>
      <c r="E29" s="69" t="s">
        <v>325</v>
      </c>
      <c r="F29" s="15" t="s">
        <v>213</v>
      </c>
      <c r="G29" s="15" t="s">
        <v>18</v>
      </c>
      <c r="H29" s="73">
        <v>46186</v>
      </c>
      <c r="I29" s="73">
        <v>46186</v>
      </c>
      <c r="J29" s="15">
        <v>0</v>
      </c>
      <c r="K29" s="14" t="s">
        <v>326</v>
      </c>
    </row>
    <row r="30" spans="1:12" s="72" customFormat="1" ht="57.6" x14ac:dyDescent="0.3">
      <c r="A30" s="5">
        <v>29</v>
      </c>
      <c r="B30" s="5" t="s">
        <v>574</v>
      </c>
      <c r="C30" s="14" t="s">
        <v>327</v>
      </c>
      <c r="D30" s="15" t="s">
        <v>278</v>
      </c>
      <c r="E30" s="69" t="s">
        <v>325</v>
      </c>
      <c r="F30" s="15" t="s">
        <v>213</v>
      </c>
      <c r="G30" s="15" t="s">
        <v>18</v>
      </c>
      <c r="H30" s="73">
        <v>46186</v>
      </c>
      <c r="I30" s="73">
        <v>46186</v>
      </c>
      <c r="J30" s="15">
        <v>0</v>
      </c>
      <c r="K30" s="14" t="s">
        <v>328</v>
      </c>
    </row>
    <row r="31" spans="1:12" ht="28.8" x14ac:dyDescent="0.3">
      <c r="A31" s="5">
        <v>30</v>
      </c>
      <c r="B31" s="5" t="s">
        <v>575</v>
      </c>
      <c r="C31" s="19" t="s">
        <v>329</v>
      </c>
      <c r="D31" s="15" t="s">
        <v>278</v>
      </c>
      <c r="E31" t="s">
        <v>279</v>
      </c>
      <c r="F31" t="s">
        <v>173</v>
      </c>
      <c r="G31" s="15" t="s">
        <v>18</v>
      </c>
      <c r="H31" s="73">
        <v>46186</v>
      </c>
      <c r="I31" s="73">
        <v>46186</v>
      </c>
      <c r="J31">
        <v>1</v>
      </c>
      <c r="K31" s="19" t="s">
        <v>330</v>
      </c>
      <c r="L31" s="27"/>
    </row>
    <row r="32" spans="1:12" ht="28.8" x14ac:dyDescent="0.3">
      <c r="A32" s="5">
        <v>31</v>
      </c>
      <c r="B32" s="5" t="s">
        <v>575</v>
      </c>
      <c r="C32" s="10" t="s">
        <v>331</v>
      </c>
      <c r="D32" s="5" t="s">
        <v>283</v>
      </c>
      <c r="E32" s="5" t="s">
        <v>332</v>
      </c>
      <c r="F32" s="5" t="s">
        <v>173</v>
      </c>
      <c r="G32" s="5" t="s">
        <v>333</v>
      </c>
      <c r="H32" s="74">
        <v>46186</v>
      </c>
      <c r="I32" s="75">
        <v>46186</v>
      </c>
      <c r="J32" s="5">
        <f t="shared" ca="1" si="1"/>
        <v>1</v>
      </c>
      <c r="K32" s="77"/>
    </row>
    <row r="33" spans="1:11" ht="43.2" x14ac:dyDescent="0.3">
      <c r="A33" s="5">
        <v>32</v>
      </c>
      <c r="B33" s="5" t="s">
        <v>574</v>
      </c>
      <c r="C33" s="71" t="s">
        <v>334</v>
      </c>
      <c r="D33" s="69" t="s">
        <v>278</v>
      </c>
      <c r="E33" s="69" t="s">
        <v>325</v>
      </c>
      <c r="F33" s="69" t="s">
        <v>213</v>
      </c>
      <c r="G33" s="69" t="s">
        <v>18</v>
      </c>
      <c r="H33" s="74">
        <v>46186</v>
      </c>
      <c r="I33" s="74">
        <v>46186</v>
      </c>
      <c r="J33" s="69">
        <v>0</v>
      </c>
      <c r="K33" s="71" t="s">
        <v>335</v>
      </c>
    </row>
    <row r="34" spans="1:11" ht="57.6" x14ac:dyDescent="0.3">
      <c r="A34" s="5">
        <v>33</v>
      </c>
      <c r="B34" s="5" t="s">
        <v>574</v>
      </c>
      <c r="C34" s="71" t="s">
        <v>336</v>
      </c>
      <c r="D34" s="69" t="s">
        <v>278</v>
      </c>
      <c r="E34" s="69" t="s">
        <v>325</v>
      </c>
      <c r="F34" s="69" t="s">
        <v>213</v>
      </c>
      <c r="G34" s="69" t="s">
        <v>18</v>
      </c>
      <c r="H34" s="74">
        <v>46186</v>
      </c>
      <c r="I34" s="74">
        <v>46186</v>
      </c>
      <c r="J34" s="69">
        <v>0</v>
      </c>
      <c r="K34" s="71" t="s">
        <v>337</v>
      </c>
    </row>
    <row r="35" spans="1:11" ht="28.8" x14ac:dyDescent="0.3">
      <c r="A35" s="5">
        <v>34</v>
      </c>
      <c r="B35" s="5" t="s">
        <v>574</v>
      </c>
      <c r="C35" s="71" t="s">
        <v>338</v>
      </c>
      <c r="D35" s="69" t="s">
        <v>324</v>
      </c>
      <c r="E35" s="69" t="s">
        <v>325</v>
      </c>
      <c r="F35" s="69" t="s">
        <v>213</v>
      </c>
      <c r="G35" s="69" t="s">
        <v>18</v>
      </c>
      <c r="H35" s="70">
        <v>46186</v>
      </c>
      <c r="I35" s="70">
        <v>46186</v>
      </c>
      <c r="J35" s="69">
        <v>0</v>
      </c>
      <c r="K35" s="71" t="s">
        <v>339</v>
      </c>
    </row>
    <row r="36" spans="1:11" ht="28.8" x14ac:dyDescent="0.3">
      <c r="A36" s="5">
        <v>35</v>
      </c>
      <c r="B36" s="5" t="s">
        <v>576</v>
      </c>
      <c r="C36" s="10" t="s">
        <v>340</v>
      </c>
      <c r="D36" s="5" t="s">
        <v>283</v>
      </c>
      <c r="E36" s="5" t="s">
        <v>332</v>
      </c>
      <c r="F36" s="5" t="s">
        <v>173</v>
      </c>
      <c r="G36" s="5" t="s">
        <v>333</v>
      </c>
      <c r="H36" s="74">
        <v>46186</v>
      </c>
      <c r="I36" s="74">
        <v>46186</v>
      </c>
      <c r="J36" s="5">
        <f t="shared" ca="1" si="1"/>
        <v>1</v>
      </c>
    </row>
    <row r="37" spans="1:11" ht="28.8" x14ac:dyDescent="0.3">
      <c r="A37" s="5">
        <v>36</v>
      </c>
      <c r="B37" s="5" t="s">
        <v>573</v>
      </c>
      <c r="C37" s="10" t="s">
        <v>341</v>
      </c>
      <c r="D37" s="69" t="s">
        <v>278</v>
      </c>
      <c r="E37" s="5" t="s">
        <v>243</v>
      </c>
      <c r="F37" s="5" t="s">
        <v>243</v>
      </c>
      <c r="G37" s="69" t="s">
        <v>18</v>
      </c>
      <c r="H37" s="74">
        <v>46186</v>
      </c>
      <c r="I37" s="74">
        <v>46186</v>
      </c>
      <c r="J37" s="5">
        <f t="shared" ca="1" si="1"/>
        <v>1</v>
      </c>
    </row>
    <row r="38" spans="1:11" ht="28.8" x14ac:dyDescent="0.3">
      <c r="A38" s="5">
        <v>37</v>
      </c>
      <c r="B38" s="5" t="s">
        <v>573</v>
      </c>
      <c r="C38" s="10" t="s">
        <v>342</v>
      </c>
      <c r="D38" s="69" t="s">
        <v>278</v>
      </c>
      <c r="E38" s="5" t="s">
        <v>243</v>
      </c>
      <c r="F38" s="5" t="s">
        <v>243</v>
      </c>
      <c r="G38" s="69" t="s">
        <v>18</v>
      </c>
      <c r="H38" s="74">
        <v>46186</v>
      </c>
      <c r="I38" s="74">
        <v>46186</v>
      </c>
      <c r="J38" s="5">
        <f t="shared" ca="1" si="1"/>
        <v>1</v>
      </c>
    </row>
    <row r="39" spans="1:11" x14ac:dyDescent="0.3">
      <c r="A39" s="5">
        <v>38</v>
      </c>
      <c r="B39" s="5" t="s">
        <v>573</v>
      </c>
      <c r="C39" s="5" t="s">
        <v>343</v>
      </c>
      <c r="D39" s="69" t="s">
        <v>278</v>
      </c>
      <c r="E39" s="5" t="s">
        <v>243</v>
      </c>
      <c r="F39" s="5" t="s">
        <v>243</v>
      </c>
      <c r="G39" s="69" t="s">
        <v>18</v>
      </c>
      <c r="H39" s="74">
        <v>46186</v>
      </c>
      <c r="I39" s="74">
        <v>46186</v>
      </c>
      <c r="J39" s="5">
        <f t="shared" ca="1" si="1"/>
        <v>1</v>
      </c>
    </row>
    <row r="40" spans="1:11" ht="28.8" x14ac:dyDescent="0.3">
      <c r="A40" s="5">
        <v>39</v>
      </c>
      <c r="B40" s="5" t="s">
        <v>573</v>
      </c>
      <c r="C40" s="10" t="s">
        <v>344</v>
      </c>
      <c r="D40" s="69" t="s">
        <v>278</v>
      </c>
      <c r="E40" s="5" t="s">
        <v>243</v>
      </c>
      <c r="F40" s="5" t="s">
        <v>243</v>
      </c>
      <c r="G40" s="69" t="s">
        <v>18</v>
      </c>
      <c r="H40" s="74">
        <v>46186</v>
      </c>
      <c r="I40" s="74">
        <v>46186</v>
      </c>
      <c r="J40" s="5">
        <f t="shared" ca="1" si="1"/>
        <v>1</v>
      </c>
    </row>
    <row r="41" spans="1:11" ht="28.8" x14ac:dyDescent="0.3">
      <c r="A41" s="5">
        <v>40</v>
      </c>
      <c r="B41" s="5" t="s">
        <v>573</v>
      </c>
      <c r="C41" s="10" t="s">
        <v>345</v>
      </c>
      <c r="D41" s="69" t="s">
        <v>278</v>
      </c>
      <c r="E41" s="5" t="s">
        <v>243</v>
      </c>
      <c r="F41" s="5" t="s">
        <v>243</v>
      </c>
      <c r="G41" s="69" t="s">
        <v>18</v>
      </c>
      <c r="H41" s="74">
        <v>46186</v>
      </c>
      <c r="I41" s="74">
        <v>46186</v>
      </c>
      <c r="J41" s="5">
        <f t="shared" ca="1" si="1"/>
        <v>1</v>
      </c>
    </row>
    <row r="42" spans="1:11" ht="28.8" x14ac:dyDescent="0.3">
      <c r="A42" s="5">
        <v>41</v>
      </c>
      <c r="B42" s="5" t="s">
        <v>573</v>
      </c>
      <c r="C42" s="10" t="s">
        <v>346</v>
      </c>
      <c r="D42" s="69" t="s">
        <v>278</v>
      </c>
      <c r="E42" s="5" t="s">
        <v>243</v>
      </c>
      <c r="F42" s="5" t="s">
        <v>243</v>
      </c>
      <c r="G42" s="69" t="s">
        <v>18</v>
      </c>
      <c r="H42" s="74">
        <v>46186</v>
      </c>
      <c r="I42" s="74">
        <v>46186</v>
      </c>
      <c r="J42" s="5">
        <f t="shared" ca="1" si="1"/>
        <v>1</v>
      </c>
    </row>
    <row r="43" spans="1:11" ht="28.8" x14ac:dyDescent="0.3">
      <c r="A43" s="5">
        <v>42</v>
      </c>
      <c r="B43" s="5" t="s">
        <v>573</v>
      </c>
      <c r="C43" s="10" t="s">
        <v>347</v>
      </c>
      <c r="D43" s="69" t="s">
        <v>278</v>
      </c>
      <c r="E43" s="5" t="s">
        <v>243</v>
      </c>
      <c r="F43" s="5" t="s">
        <v>243</v>
      </c>
      <c r="G43" s="69" t="s">
        <v>18</v>
      </c>
      <c r="H43" s="74">
        <v>46186</v>
      </c>
      <c r="I43" s="74">
        <v>46186</v>
      </c>
      <c r="J43" s="5">
        <f t="shared" ca="1" si="1"/>
        <v>1</v>
      </c>
    </row>
    <row r="44" spans="1:11" ht="28.8" x14ac:dyDescent="0.3">
      <c r="A44" s="5">
        <v>43</v>
      </c>
      <c r="B44" s="5" t="s">
        <v>573</v>
      </c>
      <c r="C44" s="10" t="s">
        <v>348</v>
      </c>
      <c r="D44" s="69" t="s">
        <v>278</v>
      </c>
      <c r="E44" s="5" t="s">
        <v>243</v>
      </c>
      <c r="F44" s="5" t="s">
        <v>243</v>
      </c>
      <c r="G44" s="69" t="s">
        <v>18</v>
      </c>
      <c r="H44" s="74">
        <v>46186</v>
      </c>
      <c r="I44" s="74">
        <v>46186</v>
      </c>
      <c r="J44" s="5">
        <f t="shared" ca="1" si="1"/>
        <v>1</v>
      </c>
    </row>
    <row r="45" spans="1:11" x14ac:dyDescent="0.3">
      <c r="A45" s="5">
        <v>44</v>
      </c>
      <c r="B45" s="5" t="s">
        <v>573</v>
      </c>
      <c r="C45" s="10" t="s">
        <v>349</v>
      </c>
      <c r="D45" s="69" t="s">
        <v>278</v>
      </c>
      <c r="E45" s="5" t="s">
        <v>243</v>
      </c>
      <c r="F45" s="5" t="s">
        <v>243</v>
      </c>
      <c r="G45" s="69" t="s">
        <v>18</v>
      </c>
      <c r="H45" s="74">
        <v>46186</v>
      </c>
      <c r="I45" s="74">
        <v>46186</v>
      </c>
      <c r="J45" s="5">
        <f t="shared" ca="1" si="1"/>
        <v>1</v>
      </c>
    </row>
    <row r="46" spans="1:11" ht="28.8" x14ac:dyDescent="0.3">
      <c r="A46" s="5">
        <v>45</v>
      </c>
      <c r="B46" s="5" t="s">
        <v>573</v>
      </c>
      <c r="C46" s="10" t="s">
        <v>350</v>
      </c>
      <c r="D46" s="69" t="s">
        <v>278</v>
      </c>
      <c r="E46" s="5" t="s">
        <v>243</v>
      </c>
      <c r="F46" s="5" t="s">
        <v>243</v>
      </c>
      <c r="G46" s="69" t="s">
        <v>18</v>
      </c>
      <c r="H46" s="74">
        <v>46186</v>
      </c>
      <c r="I46" s="74">
        <v>46186</v>
      </c>
      <c r="J46" s="5">
        <f t="shared" ca="1" si="1"/>
        <v>1</v>
      </c>
    </row>
    <row r="47" spans="1:11" ht="28.8" x14ac:dyDescent="0.3">
      <c r="A47" s="5">
        <v>46</v>
      </c>
      <c r="B47" s="5" t="s">
        <v>573</v>
      </c>
      <c r="C47" s="10" t="s">
        <v>351</v>
      </c>
      <c r="D47" s="69" t="s">
        <v>278</v>
      </c>
      <c r="E47" s="5" t="s">
        <v>243</v>
      </c>
      <c r="F47" s="5" t="s">
        <v>243</v>
      </c>
      <c r="G47" s="69" t="s">
        <v>18</v>
      </c>
      <c r="H47" s="74">
        <v>46186</v>
      </c>
      <c r="I47" s="74">
        <v>46186</v>
      </c>
      <c r="J47" s="5">
        <f t="shared" ca="1" si="1"/>
        <v>1</v>
      </c>
    </row>
    <row r="48" spans="1:11" ht="28.8" x14ac:dyDescent="0.3">
      <c r="A48" s="5">
        <v>47</v>
      </c>
      <c r="B48" s="5" t="s">
        <v>573</v>
      </c>
      <c r="C48" s="10" t="s">
        <v>352</v>
      </c>
      <c r="D48" s="69" t="s">
        <v>278</v>
      </c>
      <c r="E48" s="5" t="s">
        <v>243</v>
      </c>
      <c r="F48" s="5" t="s">
        <v>243</v>
      </c>
      <c r="G48" s="69" t="s">
        <v>18</v>
      </c>
      <c r="H48" s="74">
        <v>46186</v>
      </c>
      <c r="I48" s="74">
        <v>46186</v>
      </c>
      <c r="J48" s="5">
        <f t="shared" ca="1" si="1"/>
        <v>1</v>
      </c>
    </row>
    <row r="49" spans="1:11" ht="28.8" x14ac:dyDescent="0.3">
      <c r="A49" s="5">
        <v>48</v>
      </c>
      <c r="B49" s="5" t="s">
        <v>573</v>
      </c>
      <c r="C49" s="10" t="s">
        <v>353</v>
      </c>
      <c r="D49" s="69" t="s">
        <v>278</v>
      </c>
      <c r="E49" s="5" t="s">
        <v>243</v>
      </c>
      <c r="F49" s="5" t="s">
        <v>243</v>
      </c>
      <c r="G49" s="69" t="s">
        <v>18</v>
      </c>
      <c r="H49" s="74">
        <v>46186</v>
      </c>
      <c r="I49" s="74">
        <v>46186</v>
      </c>
      <c r="J49" s="5">
        <f t="shared" ca="1" si="1"/>
        <v>1</v>
      </c>
    </row>
    <row r="50" spans="1:11" ht="28.8" x14ac:dyDescent="0.3">
      <c r="A50" s="5">
        <v>49</v>
      </c>
      <c r="B50" s="5" t="s">
        <v>573</v>
      </c>
      <c r="C50" s="10" t="s">
        <v>354</v>
      </c>
      <c r="D50" s="69" t="s">
        <v>278</v>
      </c>
      <c r="E50" s="5" t="s">
        <v>243</v>
      </c>
      <c r="F50" s="5" t="s">
        <v>243</v>
      </c>
      <c r="G50" s="69" t="s">
        <v>18</v>
      </c>
      <c r="H50" s="74">
        <v>46186</v>
      </c>
      <c r="I50" s="74">
        <v>46186</v>
      </c>
      <c r="J50" s="5">
        <f t="shared" ca="1" si="1"/>
        <v>1</v>
      </c>
    </row>
    <row r="51" spans="1:11" ht="28.8" x14ac:dyDescent="0.3">
      <c r="A51" s="5">
        <v>50</v>
      </c>
      <c r="B51" s="5" t="s">
        <v>573</v>
      </c>
      <c r="C51" s="10" t="s">
        <v>355</v>
      </c>
      <c r="D51" s="69" t="s">
        <v>278</v>
      </c>
      <c r="E51" s="5" t="s">
        <v>243</v>
      </c>
      <c r="F51" s="5" t="s">
        <v>243</v>
      </c>
      <c r="G51" s="69" t="s">
        <v>18</v>
      </c>
      <c r="H51" s="74">
        <v>46186</v>
      </c>
      <c r="I51" s="74">
        <v>46186</v>
      </c>
      <c r="J51" s="5">
        <f t="shared" ca="1" si="1"/>
        <v>1</v>
      </c>
    </row>
    <row r="52" spans="1:11" ht="28.8" x14ac:dyDescent="0.3">
      <c r="A52" s="5">
        <v>51</v>
      </c>
      <c r="B52" s="5" t="s">
        <v>573</v>
      </c>
      <c r="C52" s="10" t="s">
        <v>356</v>
      </c>
      <c r="D52" s="69" t="s">
        <v>278</v>
      </c>
      <c r="E52" s="5" t="s">
        <v>243</v>
      </c>
      <c r="F52" s="5" t="s">
        <v>243</v>
      </c>
      <c r="G52" s="69" t="s">
        <v>18</v>
      </c>
      <c r="H52" s="74">
        <v>46186</v>
      </c>
      <c r="I52" s="74">
        <v>46186</v>
      </c>
      <c r="J52" s="5">
        <f t="shared" ca="1" si="1"/>
        <v>1</v>
      </c>
    </row>
    <row r="53" spans="1:11" ht="28.8" x14ac:dyDescent="0.3">
      <c r="A53" s="5">
        <v>52</v>
      </c>
      <c r="B53" s="5" t="s">
        <v>573</v>
      </c>
      <c r="C53" s="10" t="s">
        <v>357</v>
      </c>
      <c r="D53" s="69" t="s">
        <v>278</v>
      </c>
      <c r="E53" s="5" t="s">
        <v>243</v>
      </c>
      <c r="F53" s="5" t="s">
        <v>243</v>
      </c>
      <c r="G53" s="69" t="s">
        <v>18</v>
      </c>
      <c r="H53" s="74">
        <v>46186</v>
      </c>
      <c r="I53" s="74">
        <v>46186</v>
      </c>
      <c r="J53" s="5">
        <f t="shared" ca="1" si="1"/>
        <v>1</v>
      </c>
    </row>
    <row r="54" spans="1:11" ht="28.8" x14ac:dyDescent="0.3">
      <c r="A54" s="5">
        <v>53</v>
      </c>
      <c r="B54" s="5" t="s">
        <v>573</v>
      </c>
      <c r="C54" s="10" t="s">
        <v>358</v>
      </c>
      <c r="D54" s="69" t="s">
        <v>278</v>
      </c>
      <c r="E54" s="5" t="s">
        <v>243</v>
      </c>
      <c r="F54" s="5" t="s">
        <v>243</v>
      </c>
      <c r="G54" s="69" t="s">
        <v>18</v>
      </c>
      <c r="H54" s="74">
        <v>46186</v>
      </c>
      <c r="I54" s="74">
        <v>46186</v>
      </c>
      <c r="J54" s="5">
        <f t="shared" ca="1" si="1"/>
        <v>1</v>
      </c>
    </row>
    <row r="55" spans="1:11" ht="28.8" x14ac:dyDescent="0.3">
      <c r="A55" s="5">
        <v>54</v>
      </c>
      <c r="B55" s="5" t="s">
        <v>573</v>
      </c>
      <c r="C55" s="10" t="s">
        <v>359</v>
      </c>
      <c r="D55" s="69" t="s">
        <v>278</v>
      </c>
      <c r="E55" s="5" t="s">
        <v>243</v>
      </c>
      <c r="F55" s="5" t="s">
        <v>243</v>
      </c>
      <c r="G55" s="69" t="s">
        <v>18</v>
      </c>
      <c r="H55" s="74">
        <v>46186</v>
      </c>
      <c r="I55" s="74">
        <v>46186</v>
      </c>
      <c r="J55" s="5">
        <f t="shared" ca="1" si="1"/>
        <v>1</v>
      </c>
    </row>
    <row r="56" spans="1:11" ht="28.8" x14ac:dyDescent="0.3">
      <c r="A56" s="5">
        <v>55</v>
      </c>
      <c r="B56" s="5" t="s">
        <v>573</v>
      </c>
      <c r="C56" s="10" t="s">
        <v>360</v>
      </c>
      <c r="D56" s="69" t="s">
        <v>278</v>
      </c>
      <c r="E56" s="5" t="s">
        <v>243</v>
      </c>
      <c r="F56" s="5" t="s">
        <v>243</v>
      </c>
      <c r="G56" s="69" t="s">
        <v>18</v>
      </c>
      <c r="H56" s="74">
        <v>46186</v>
      </c>
      <c r="I56" s="74">
        <v>46186</v>
      </c>
      <c r="J56" s="5">
        <f t="shared" ca="1" si="1"/>
        <v>1</v>
      </c>
    </row>
    <row r="57" spans="1:11" ht="28.8" x14ac:dyDescent="0.3">
      <c r="A57" s="5">
        <v>56</v>
      </c>
      <c r="B57" s="5" t="s">
        <v>573</v>
      </c>
      <c r="C57" s="10" t="s">
        <v>361</v>
      </c>
      <c r="D57" s="69" t="s">
        <v>278</v>
      </c>
      <c r="E57" s="5" t="s">
        <v>243</v>
      </c>
      <c r="F57" s="5" t="s">
        <v>243</v>
      </c>
      <c r="G57" s="69" t="s">
        <v>18</v>
      </c>
      <c r="H57" s="74">
        <v>46186</v>
      </c>
      <c r="I57" s="74">
        <v>46186</v>
      </c>
      <c r="J57" s="5">
        <f t="shared" ca="1" si="1"/>
        <v>1</v>
      </c>
    </row>
    <row r="58" spans="1:11" ht="28.8" x14ac:dyDescent="0.3">
      <c r="A58" s="5">
        <v>57</v>
      </c>
      <c r="B58" s="5" t="s">
        <v>573</v>
      </c>
      <c r="C58" s="10" t="s">
        <v>362</v>
      </c>
      <c r="D58" s="69" t="s">
        <v>278</v>
      </c>
      <c r="E58" s="5" t="s">
        <v>243</v>
      </c>
      <c r="F58" s="5" t="s">
        <v>243</v>
      </c>
      <c r="G58" s="69" t="s">
        <v>18</v>
      </c>
      <c r="H58" s="74">
        <v>46186</v>
      </c>
      <c r="I58" s="74">
        <v>46186</v>
      </c>
      <c r="J58" s="5">
        <f t="shared" ca="1" si="1"/>
        <v>1</v>
      </c>
    </row>
    <row r="59" spans="1:11" ht="43.2" x14ac:dyDescent="0.3">
      <c r="A59" s="5">
        <v>58</v>
      </c>
      <c r="B59" s="5" t="s">
        <v>573</v>
      </c>
      <c r="C59" s="10" t="s">
        <v>363</v>
      </c>
      <c r="D59" s="5" t="s">
        <v>278</v>
      </c>
      <c r="E59" s="5" t="s">
        <v>332</v>
      </c>
      <c r="F59" s="5" t="s">
        <v>173</v>
      </c>
      <c r="G59" s="5" t="s">
        <v>333</v>
      </c>
      <c r="H59" s="74">
        <v>46186</v>
      </c>
      <c r="I59" s="74">
        <v>46186</v>
      </c>
      <c r="J59" s="5">
        <f t="shared" ref="J59:J90" ca="1" si="2">IF(H59="","",TODAY()-H59)</f>
        <v>1</v>
      </c>
    </row>
    <row r="60" spans="1:11" ht="43.2" x14ac:dyDescent="0.3">
      <c r="A60" s="5">
        <v>59</v>
      </c>
      <c r="B60" s="5" t="s">
        <v>573</v>
      </c>
      <c r="C60" s="10" t="s">
        <v>364</v>
      </c>
      <c r="D60" s="5" t="s">
        <v>278</v>
      </c>
      <c r="E60" s="5" t="s">
        <v>243</v>
      </c>
      <c r="F60" s="5" t="s">
        <v>243</v>
      </c>
      <c r="G60" s="5" t="s">
        <v>242</v>
      </c>
      <c r="H60" s="74">
        <v>46186</v>
      </c>
      <c r="I60" s="74">
        <v>46188</v>
      </c>
      <c r="J60" s="5">
        <f t="shared" ca="1" si="2"/>
        <v>1</v>
      </c>
      <c r="K60" s="10" t="s">
        <v>365</v>
      </c>
    </row>
    <row r="61" spans="1:11" ht="28.8" x14ac:dyDescent="0.3">
      <c r="A61" s="5">
        <v>60</v>
      </c>
      <c r="B61" s="5" t="s">
        <v>573</v>
      </c>
      <c r="C61" s="10" t="s">
        <v>366</v>
      </c>
      <c r="D61" s="5" t="s">
        <v>278</v>
      </c>
      <c r="E61" s="5" t="s">
        <v>243</v>
      </c>
      <c r="F61" s="5" t="s">
        <v>243</v>
      </c>
      <c r="G61" s="5" t="s">
        <v>242</v>
      </c>
      <c r="H61" s="74">
        <v>46186</v>
      </c>
      <c r="I61" s="74">
        <v>46188</v>
      </c>
      <c r="J61" s="5">
        <f t="shared" ca="1" si="2"/>
        <v>1</v>
      </c>
      <c r="K61" s="10" t="s">
        <v>365</v>
      </c>
    </row>
    <row r="62" spans="1:11" ht="43.2" x14ac:dyDescent="0.3">
      <c r="A62" s="5">
        <v>61</v>
      </c>
      <c r="B62" s="5" t="s">
        <v>573</v>
      </c>
      <c r="C62" s="10" t="s">
        <v>367</v>
      </c>
      <c r="D62" s="5" t="s">
        <v>278</v>
      </c>
      <c r="E62" s="5" t="s">
        <v>243</v>
      </c>
      <c r="F62" s="5" t="s">
        <v>243</v>
      </c>
      <c r="G62" s="5" t="s">
        <v>242</v>
      </c>
      <c r="H62" s="74">
        <v>46186</v>
      </c>
      <c r="I62" s="74">
        <v>46188</v>
      </c>
      <c r="J62" s="5">
        <f t="shared" ca="1" si="2"/>
        <v>1</v>
      </c>
      <c r="K62" s="10" t="s">
        <v>365</v>
      </c>
    </row>
    <row r="63" spans="1:11" ht="43.2" x14ac:dyDescent="0.3">
      <c r="A63" s="5">
        <v>62</v>
      </c>
      <c r="B63" s="5" t="s">
        <v>573</v>
      </c>
      <c r="C63" s="10" t="s">
        <v>368</v>
      </c>
      <c r="D63" s="5" t="s">
        <v>278</v>
      </c>
      <c r="E63" s="5" t="s">
        <v>243</v>
      </c>
      <c r="F63" s="5" t="s">
        <v>243</v>
      </c>
      <c r="G63" s="5" t="s">
        <v>242</v>
      </c>
      <c r="H63" s="74">
        <v>46186</v>
      </c>
      <c r="I63" s="74">
        <v>46188</v>
      </c>
      <c r="J63" s="5">
        <f t="shared" ca="1" si="2"/>
        <v>1</v>
      </c>
      <c r="K63" s="10" t="s">
        <v>365</v>
      </c>
    </row>
    <row r="64" spans="1:11" ht="28.8" x14ac:dyDescent="0.3">
      <c r="A64" s="5">
        <v>63</v>
      </c>
      <c r="B64" s="5" t="s">
        <v>573</v>
      </c>
      <c r="C64" s="10" t="s">
        <v>369</v>
      </c>
      <c r="D64" s="5" t="s">
        <v>278</v>
      </c>
      <c r="E64" s="5" t="s">
        <v>243</v>
      </c>
      <c r="F64" s="5" t="s">
        <v>243</v>
      </c>
      <c r="G64" s="5" t="s">
        <v>242</v>
      </c>
      <c r="H64" s="74">
        <v>46186</v>
      </c>
      <c r="I64" s="74">
        <v>46188</v>
      </c>
      <c r="J64" s="5">
        <f t="shared" ca="1" si="2"/>
        <v>1</v>
      </c>
      <c r="K64" s="10" t="s">
        <v>365</v>
      </c>
    </row>
    <row r="65" spans="1:11" ht="43.2" x14ac:dyDescent="0.3">
      <c r="A65" s="5">
        <v>64</v>
      </c>
      <c r="B65" s="5" t="s">
        <v>573</v>
      </c>
      <c r="C65" s="10" t="s">
        <v>370</v>
      </c>
      <c r="D65" s="5" t="s">
        <v>278</v>
      </c>
      <c r="E65" s="5" t="s">
        <v>243</v>
      </c>
      <c r="F65" s="5" t="s">
        <v>243</v>
      </c>
      <c r="G65" s="5" t="s">
        <v>242</v>
      </c>
      <c r="H65" s="74">
        <v>46186</v>
      </c>
      <c r="I65" s="74">
        <v>46188</v>
      </c>
      <c r="J65" s="5">
        <f t="shared" ca="1" si="2"/>
        <v>1</v>
      </c>
      <c r="K65" s="10" t="s">
        <v>365</v>
      </c>
    </row>
    <row r="66" spans="1:11" ht="57.6" x14ac:dyDescent="0.3">
      <c r="A66" s="5">
        <v>65</v>
      </c>
      <c r="B66" s="5" t="s">
        <v>573</v>
      </c>
      <c r="C66" s="10" t="s">
        <v>371</v>
      </c>
      <c r="D66" s="5" t="s">
        <v>278</v>
      </c>
      <c r="E66" s="5" t="s">
        <v>243</v>
      </c>
      <c r="F66" s="5" t="s">
        <v>243</v>
      </c>
      <c r="G66" s="5" t="s">
        <v>242</v>
      </c>
      <c r="H66" s="74">
        <v>46186</v>
      </c>
      <c r="I66" s="74">
        <v>46188</v>
      </c>
      <c r="J66" s="5">
        <f t="shared" ca="1" si="2"/>
        <v>1</v>
      </c>
      <c r="K66" s="10" t="s">
        <v>365</v>
      </c>
    </row>
    <row r="67" spans="1:11" ht="43.2" x14ac:dyDescent="0.3">
      <c r="A67" s="5">
        <v>66</v>
      </c>
      <c r="B67" s="5" t="s">
        <v>573</v>
      </c>
      <c r="C67" s="10" t="s">
        <v>372</v>
      </c>
      <c r="D67" s="5" t="s">
        <v>278</v>
      </c>
      <c r="E67" s="5" t="s">
        <v>243</v>
      </c>
      <c r="F67" s="5" t="s">
        <v>243</v>
      </c>
      <c r="G67" s="5" t="s">
        <v>242</v>
      </c>
      <c r="H67" s="74">
        <v>46186</v>
      </c>
      <c r="I67" s="74">
        <v>46188</v>
      </c>
      <c r="J67" s="5">
        <f t="shared" ca="1" si="2"/>
        <v>1</v>
      </c>
      <c r="K67" s="10" t="s">
        <v>365</v>
      </c>
    </row>
    <row r="68" spans="1:11" ht="43.2" x14ac:dyDescent="0.3">
      <c r="A68" s="5">
        <v>67</v>
      </c>
      <c r="B68" s="5" t="s">
        <v>573</v>
      </c>
      <c r="C68" s="10" t="s">
        <v>373</v>
      </c>
      <c r="D68" s="5" t="s">
        <v>278</v>
      </c>
      <c r="E68" s="5" t="s">
        <v>243</v>
      </c>
      <c r="F68" s="5" t="s">
        <v>243</v>
      </c>
      <c r="G68" s="5" t="s">
        <v>242</v>
      </c>
      <c r="H68" s="74">
        <v>46186</v>
      </c>
      <c r="I68" s="74">
        <v>46188</v>
      </c>
      <c r="J68" s="5">
        <f t="shared" ca="1" si="2"/>
        <v>1</v>
      </c>
      <c r="K68" s="10" t="s">
        <v>365</v>
      </c>
    </row>
    <row r="69" spans="1:11" ht="43.2" x14ac:dyDescent="0.3">
      <c r="A69" s="5">
        <v>68</v>
      </c>
      <c r="B69" s="5" t="s">
        <v>573</v>
      </c>
      <c r="C69" s="10" t="s">
        <v>374</v>
      </c>
      <c r="D69" s="5" t="s">
        <v>278</v>
      </c>
      <c r="E69" s="5" t="s">
        <v>243</v>
      </c>
      <c r="F69" s="5" t="s">
        <v>243</v>
      </c>
      <c r="G69" s="5" t="s">
        <v>242</v>
      </c>
      <c r="H69" s="74">
        <v>46186</v>
      </c>
      <c r="I69" s="74">
        <v>46188</v>
      </c>
      <c r="J69" s="5">
        <f t="shared" ca="1" si="2"/>
        <v>1</v>
      </c>
      <c r="K69" s="10" t="s">
        <v>365</v>
      </c>
    </row>
    <row r="70" spans="1:11" ht="43.2" x14ac:dyDescent="0.3">
      <c r="A70" s="5">
        <v>69</v>
      </c>
      <c r="B70" s="5" t="s">
        <v>573</v>
      </c>
      <c r="C70" s="10" t="s">
        <v>375</v>
      </c>
      <c r="D70" s="5" t="s">
        <v>278</v>
      </c>
      <c r="E70" s="5" t="s">
        <v>243</v>
      </c>
      <c r="F70" s="5" t="s">
        <v>243</v>
      </c>
      <c r="G70" s="5" t="s">
        <v>242</v>
      </c>
      <c r="H70" s="74">
        <v>46186</v>
      </c>
      <c r="I70" s="74">
        <v>46188</v>
      </c>
      <c r="J70" s="5">
        <f t="shared" ca="1" si="2"/>
        <v>1</v>
      </c>
      <c r="K70" s="10" t="s">
        <v>365</v>
      </c>
    </row>
    <row r="71" spans="1:11" ht="43.2" x14ac:dyDescent="0.3">
      <c r="A71" s="5">
        <v>70</v>
      </c>
      <c r="B71" s="5" t="s">
        <v>573</v>
      </c>
      <c r="C71" s="10" t="s">
        <v>376</v>
      </c>
      <c r="D71" s="5" t="s">
        <v>278</v>
      </c>
      <c r="E71" s="5" t="s">
        <v>243</v>
      </c>
      <c r="F71" s="5" t="s">
        <v>243</v>
      </c>
      <c r="G71" s="5" t="s">
        <v>242</v>
      </c>
      <c r="H71" s="74">
        <v>46186</v>
      </c>
      <c r="I71" s="74">
        <v>46188</v>
      </c>
      <c r="J71" s="5">
        <f t="shared" ca="1" si="2"/>
        <v>1</v>
      </c>
      <c r="K71" s="10" t="s">
        <v>365</v>
      </c>
    </row>
    <row r="72" spans="1:11" ht="28.8" x14ac:dyDescent="0.3">
      <c r="A72" s="5">
        <v>71</v>
      </c>
      <c r="C72" s="10" t="s">
        <v>377</v>
      </c>
      <c r="D72" s="5" t="s">
        <v>278</v>
      </c>
      <c r="J72" s="5" t="str">
        <f t="shared" ca="1" si="2"/>
        <v/>
      </c>
    </row>
    <row r="73" spans="1:11" ht="28.8" x14ac:dyDescent="0.3">
      <c r="A73" s="5">
        <v>72</v>
      </c>
      <c r="B73" s="5" t="s">
        <v>565</v>
      </c>
      <c r="C73" s="79" t="s">
        <v>378</v>
      </c>
      <c r="D73" s="80" t="s">
        <v>324</v>
      </c>
      <c r="E73" s="80" t="s">
        <v>325</v>
      </c>
      <c r="F73" s="80" t="s">
        <v>213</v>
      </c>
      <c r="G73" s="80" t="s">
        <v>18</v>
      </c>
      <c r="H73" s="74">
        <v>46186</v>
      </c>
      <c r="I73" s="74">
        <v>46186</v>
      </c>
      <c r="J73" s="69"/>
    </row>
    <row r="74" spans="1:11" ht="43.2" x14ac:dyDescent="0.3">
      <c r="A74" s="5">
        <v>73</v>
      </c>
      <c r="B74" s="5" t="s">
        <v>564</v>
      </c>
      <c r="C74" s="10" t="s">
        <v>379</v>
      </c>
      <c r="D74" s="5" t="s">
        <v>278</v>
      </c>
      <c r="E74" s="5" t="s">
        <v>332</v>
      </c>
      <c r="F74" s="5" t="s">
        <v>173</v>
      </c>
      <c r="G74" s="5" t="s">
        <v>333</v>
      </c>
      <c r="H74" s="74">
        <v>46186</v>
      </c>
      <c r="I74" s="74">
        <v>46186</v>
      </c>
      <c r="J74" s="5">
        <f t="shared" ca="1" si="2"/>
        <v>1</v>
      </c>
    </row>
    <row r="75" spans="1:11" ht="43.2" x14ac:dyDescent="0.3">
      <c r="A75" s="5">
        <v>74</v>
      </c>
      <c r="B75" s="5" t="s">
        <v>564</v>
      </c>
      <c r="C75" s="10" t="s">
        <v>380</v>
      </c>
      <c r="D75" s="5" t="s">
        <v>278</v>
      </c>
      <c r="E75" s="5" t="s">
        <v>332</v>
      </c>
      <c r="F75" s="5" t="s">
        <v>173</v>
      </c>
      <c r="G75" s="5" t="s">
        <v>333</v>
      </c>
      <c r="H75" s="74">
        <v>46186</v>
      </c>
      <c r="I75" s="74">
        <v>46186</v>
      </c>
      <c r="J75" s="5">
        <f t="shared" ca="1" si="2"/>
        <v>1</v>
      </c>
    </row>
    <row r="76" spans="1:11" ht="43.2" x14ac:dyDescent="0.3">
      <c r="A76" s="5">
        <v>75</v>
      </c>
      <c r="B76" s="5" t="s">
        <v>564</v>
      </c>
      <c r="C76" s="10" t="s">
        <v>381</v>
      </c>
      <c r="D76" s="5" t="s">
        <v>278</v>
      </c>
      <c r="E76" s="5" t="s">
        <v>382</v>
      </c>
      <c r="F76" s="5" t="s">
        <v>173</v>
      </c>
      <c r="G76" s="5" t="s">
        <v>333</v>
      </c>
      <c r="H76" s="74">
        <v>46186</v>
      </c>
      <c r="I76" s="74">
        <v>46186</v>
      </c>
      <c r="J76" s="5">
        <f t="shared" ca="1" si="2"/>
        <v>1</v>
      </c>
    </row>
    <row r="77" spans="1:11" ht="43.2" x14ac:dyDescent="0.3">
      <c r="A77" s="5">
        <v>76</v>
      </c>
      <c r="B77" s="5" t="s">
        <v>564</v>
      </c>
      <c r="C77" s="10" t="s">
        <v>383</v>
      </c>
      <c r="D77" s="5" t="s">
        <v>278</v>
      </c>
      <c r="E77" s="5" t="s">
        <v>332</v>
      </c>
      <c r="F77" s="5" t="s">
        <v>173</v>
      </c>
      <c r="G77" s="5" t="s">
        <v>333</v>
      </c>
      <c r="H77" s="74">
        <v>46186</v>
      </c>
      <c r="I77" s="74">
        <v>46186</v>
      </c>
      <c r="J77" s="5">
        <f t="shared" ca="1" si="2"/>
        <v>1</v>
      </c>
    </row>
    <row r="78" spans="1:11" ht="43.2" x14ac:dyDescent="0.3">
      <c r="A78" s="5">
        <v>77</v>
      </c>
      <c r="B78" s="5" t="s">
        <v>564</v>
      </c>
      <c r="C78" s="10" t="s">
        <v>384</v>
      </c>
      <c r="D78" s="5" t="s">
        <v>278</v>
      </c>
      <c r="E78" s="5" t="s">
        <v>332</v>
      </c>
      <c r="F78" s="5" t="s">
        <v>173</v>
      </c>
      <c r="G78" s="5" t="s">
        <v>333</v>
      </c>
      <c r="H78" s="74">
        <v>46186</v>
      </c>
      <c r="I78" s="74">
        <v>46186</v>
      </c>
      <c r="J78" s="5">
        <f t="shared" ca="1" si="2"/>
        <v>1</v>
      </c>
    </row>
    <row r="79" spans="1:11" ht="43.2" x14ac:dyDescent="0.3">
      <c r="A79" s="5">
        <v>78</v>
      </c>
      <c r="B79" s="5" t="s">
        <v>564</v>
      </c>
      <c r="C79" s="10" t="s">
        <v>385</v>
      </c>
      <c r="D79" s="5" t="s">
        <v>278</v>
      </c>
      <c r="E79" s="5" t="s">
        <v>332</v>
      </c>
      <c r="F79" s="5" t="s">
        <v>173</v>
      </c>
      <c r="G79" s="5" t="s">
        <v>333</v>
      </c>
      <c r="H79" s="74">
        <v>46186</v>
      </c>
      <c r="I79" s="74">
        <v>46186</v>
      </c>
      <c r="J79" s="5">
        <f t="shared" ca="1" si="2"/>
        <v>1</v>
      </c>
    </row>
    <row r="80" spans="1:11" x14ac:dyDescent="0.3">
      <c r="A80" s="5">
        <v>79</v>
      </c>
      <c r="J80" s="5" t="str">
        <f t="shared" ca="1" si="2"/>
        <v/>
      </c>
    </row>
    <row r="81" spans="1:10" x14ac:dyDescent="0.3">
      <c r="A81" s="5">
        <v>80</v>
      </c>
      <c r="J81" s="5" t="str">
        <f t="shared" ca="1" si="2"/>
        <v/>
      </c>
    </row>
    <row r="82" spans="1:10" x14ac:dyDescent="0.3">
      <c r="A82" s="5">
        <v>81</v>
      </c>
      <c r="J82" s="5" t="str">
        <f t="shared" ca="1" si="2"/>
        <v/>
      </c>
    </row>
    <row r="83" spans="1:10" x14ac:dyDescent="0.3">
      <c r="A83" s="5">
        <v>82</v>
      </c>
      <c r="J83" s="5" t="str">
        <f t="shared" ca="1" si="2"/>
        <v/>
      </c>
    </row>
    <row r="84" spans="1:10" x14ac:dyDescent="0.3">
      <c r="A84" s="5">
        <v>83</v>
      </c>
      <c r="J84" s="5" t="str">
        <f t="shared" ca="1" si="2"/>
        <v/>
      </c>
    </row>
    <row r="85" spans="1:10" x14ac:dyDescent="0.3">
      <c r="A85" s="5">
        <v>84</v>
      </c>
      <c r="J85" s="5" t="str">
        <f t="shared" ca="1" si="2"/>
        <v/>
      </c>
    </row>
    <row r="86" spans="1:10" x14ac:dyDescent="0.3">
      <c r="A86" s="5">
        <v>85</v>
      </c>
      <c r="J86" s="5" t="str">
        <f t="shared" ca="1" si="2"/>
        <v/>
      </c>
    </row>
    <row r="87" spans="1:10" x14ac:dyDescent="0.3">
      <c r="A87" s="5">
        <v>86</v>
      </c>
      <c r="J87" s="5" t="str">
        <f t="shared" ca="1" si="2"/>
        <v/>
      </c>
    </row>
    <row r="88" spans="1:10" x14ac:dyDescent="0.3">
      <c r="A88" s="5">
        <v>87</v>
      </c>
      <c r="J88" s="5" t="str">
        <f t="shared" ca="1" si="2"/>
        <v/>
      </c>
    </row>
    <row r="89" spans="1:10" x14ac:dyDescent="0.3">
      <c r="A89" s="5">
        <v>88</v>
      </c>
      <c r="J89" s="5" t="str">
        <f t="shared" ca="1" si="2"/>
        <v/>
      </c>
    </row>
    <row r="90" spans="1:10" x14ac:dyDescent="0.3">
      <c r="A90" s="5">
        <v>89</v>
      </c>
      <c r="J90" s="5" t="str">
        <f t="shared" ca="1" si="2"/>
        <v/>
      </c>
    </row>
    <row r="91" spans="1:10" x14ac:dyDescent="0.3">
      <c r="A91" s="5">
        <v>90</v>
      </c>
      <c r="J91" s="5" t="str">
        <f t="shared" ref="J91:J122" ca="1" si="3">IF(H91="","",TODAY()-H91)</f>
        <v/>
      </c>
    </row>
    <row r="92" spans="1:10" x14ac:dyDescent="0.3">
      <c r="A92" s="5">
        <v>91</v>
      </c>
      <c r="J92" s="5" t="str">
        <f t="shared" ca="1" si="3"/>
        <v/>
      </c>
    </row>
    <row r="93" spans="1:10" x14ac:dyDescent="0.3">
      <c r="A93" s="5">
        <v>92</v>
      </c>
      <c r="J93" s="5" t="str">
        <f t="shared" ca="1" si="3"/>
        <v/>
      </c>
    </row>
    <row r="94" spans="1:10" x14ac:dyDescent="0.3">
      <c r="A94" s="5">
        <v>93</v>
      </c>
      <c r="J94" s="5" t="str">
        <f t="shared" ca="1" si="3"/>
        <v/>
      </c>
    </row>
    <row r="95" spans="1:10" x14ac:dyDescent="0.3">
      <c r="A95" s="5">
        <v>94</v>
      </c>
      <c r="J95" s="5" t="str">
        <f t="shared" ca="1" si="3"/>
        <v/>
      </c>
    </row>
    <row r="96" spans="1:10" x14ac:dyDescent="0.3">
      <c r="A96" s="5">
        <v>95</v>
      </c>
      <c r="J96" s="5" t="str">
        <f t="shared" ca="1" si="3"/>
        <v/>
      </c>
    </row>
    <row r="97" spans="1:10" x14ac:dyDescent="0.3">
      <c r="A97" s="5">
        <v>96</v>
      </c>
      <c r="J97" s="5" t="str">
        <f t="shared" ca="1" si="3"/>
        <v/>
      </c>
    </row>
    <row r="98" spans="1:10" x14ac:dyDescent="0.3">
      <c r="A98" s="5">
        <v>97</v>
      </c>
      <c r="J98" s="5" t="str">
        <f t="shared" ca="1" si="3"/>
        <v/>
      </c>
    </row>
    <row r="99" spans="1:10" x14ac:dyDescent="0.3">
      <c r="A99" s="5">
        <v>98</v>
      </c>
      <c r="J99" s="5" t="str">
        <f t="shared" ca="1" si="3"/>
        <v/>
      </c>
    </row>
    <row r="100" spans="1:10" x14ac:dyDescent="0.3">
      <c r="A100" s="5">
        <v>99</v>
      </c>
      <c r="J100" s="5" t="str">
        <f t="shared" ca="1" si="3"/>
        <v/>
      </c>
    </row>
    <row r="101" spans="1:10" x14ac:dyDescent="0.3">
      <c r="A101" s="5">
        <v>100</v>
      </c>
      <c r="J101" s="5" t="str">
        <f t="shared" ca="1" si="3"/>
        <v/>
      </c>
    </row>
    <row r="102" spans="1:10" x14ac:dyDescent="0.3">
      <c r="A102" s="5">
        <v>101</v>
      </c>
      <c r="J102" s="5" t="str">
        <f t="shared" ca="1" si="3"/>
        <v/>
      </c>
    </row>
    <row r="103" spans="1:10" x14ac:dyDescent="0.3">
      <c r="A103" s="5">
        <v>102</v>
      </c>
      <c r="J103" s="5" t="str">
        <f t="shared" ca="1" si="3"/>
        <v/>
      </c>
    </row>
    <row r="104" spans="1:10" x14ac:dyDescent="0.3">
      <c r="A104" s="5">
        <v>103</v>
      </c>
      <c r="J104" s="5" t="str">
        <f t="shared" ca="1" si="3"/>
        <v/>
      </c>
    </row>
    <row r="105" spans="1:10" x14ac:dyDescent="0.3">
      <c r="A105" s="5">
        <v>104</v>
      </c>
      <c r="J105" s="5" t="str">
        <f t="shared" ca="1" si="3"/>
        <v/>
      </c>
    </row>
    <row r="106" spans="1:10" x14ac:dyDescent="0.3">
      <c r="A106" s="5">
        <v>105</v>
      </c>
      <c r="J106" s="5" t="str">
        <f t="shared" ca="1" si="3"/>
        <v/>
      </c>
    </row>
    <row r="107" spans="1:10" x14ac:dyDescent="0.3">
      <c r="A107" s="5">
        <v>106</v>
      </c>
      <c r="J107" s="5" t="str">
        <f t="shared" ca="1" si="3"/>
        <v/>
      </c>
    </row>
    <row r="108" spans="1:10" x14ac:dyDescent="0.3">
      <c r="A108" s="5">
        <v>107</v>
      </c>
      <c r="J108" s="5" t="str">
        <f t="shared" ca="1" si="3"/>
        <v/>
      </c>
    </row>
    <row r="109" spans="1:10" x14ac:dyDescent="0.3">
      <c r="A109" s="5">
        <v>108</v>
      </c>
      <c r="J109" s="5" t="str">
        <f t="shared" ca="1" si="3"/>
        <v/>
      </c>
    </row>
    <row r="110" spans="1:10" x14ac:dyDescent="0.3">
      <c r="A110" s="5">
        <v>109</v>
      </c>
      <c r="J110" s="5" t="str">
        <f t="shared" ca="1" si="3"/>
        <v/>
      </c>
    </row>
    <row r="111" spans="1:10" x14ac:dyDescent="0.3">
      <c r="A111" s="5">
        <v>110</v>
      </c>
      <c r="J111" s="5" t="str">
        <f t="shared" ca="1" si="3"/>
        <v/>
      </c>
    </row>
    <row r="112" spans="1:10" x14ac:dyDescent="0.3">
      <c r="A112" s="5">
        <v>111</v>
      </c>
      <c r="J112" s="5" t="str">
        <f t="shared" ca="1" si="3"/>
        <v/>
      </c>
    </row>
    <row r="113" spans="1:10" x14ac:dyDescent="0.3">
      <c r="A113" s="5">
        <v>112</v>
      </c>
      <c r="J113" s="5" t="str">
        <f t="shared" ca="1" si="3"/>
        <v/>
      </c>
    </row>
    <row r="114" spans="1:10" x14ac:dyDescent="0.3">
      <c r="A114" s="5">
        <v>113</v>
      </c>
      <c r="J114" s="5" t="str">
        <f t="shared" ca="1" si="3"/>
        <v/>
      </c>
    </row>
    <row r="115" spans="1:10" x14ac:dyDescent="0.3">
      <c r="A115" s="5">
        <v>114</v>
      </c>
      <c r="J115" s="5" t="str">
        <f t="shared" ca="1" si="3"/>
        <v/>
      </c>
    </row>
    <row r="116" spans="1:10" x14ac:dyDescent="0.3">
      <c r="A116" s="5">
        <v>115</v>
      </c>
      <c r="J116" s="5" t="str">
        <f t="shared" ca="1" si="3"/>
        <v/>
      </c>
    </row>
    <row r="117" spans="1:10" x14ac:dyDescent="0.3">
      <c r="A117" s="5">
        <v>116</v>
      </c>
      <c r="J117" s="5" t="str">
        <f t="shared" ca="1" si="3"/>
        <v/>
      </c>
    </row>
    <row r="118" spans="1:10" x14ac:dyDescent="0.3">
      <c r="A118" s="5">
        <v>117</v>
      </c>
      <c r="J118" s="5" t="str">
        <f t="shared" ca="1" si="3"/>
        <v/>
      </c>
    </row>
    <row r="119" spans="1:10" x14ac:dyDescent="0.3">
      <c r="A119" s="5">
        <v>118</v>
      </c>
      <c r="J119" s="5" t="str">
        <f t="shared" ca="1" si="3"/>
        <v/>
      </c>
    </row>
    <row r="120" spans="1:10" x14ac:dyDescent="0.3">
      <c r="A120" s="5">
        <v>119</v>
      </c>
      <c r="J120" s="5" t="str">
        <f t="shared" ca="1" si="3"/>
        <v/>
      </c>
    </row>
    <row r="121" spans="1:10" x14ac:dyDescent="0.3">
      <c r="A121" s="5">
        <v>120</v>
      </c>
      <c r="J121" s="5" t="str">
        <f t="shared" ca="1" si="3"/>
        <v/>
      </c>
    </row>
    <row r="122" spans="1:10" x14ac:dyDescent="0.3">
      <c r="A122" s="5">
        <v>121</v>
      </c>
      <c r="J122" s="5" t="str">
        <f t="shared" ca="1" si="3"/>
        <v/>
      </c>
    </row>
    <row r="123" spans="1:10" x14ac:dyDescent="0.3">
      <c r="A123" s="5">
        <v>122</v>
      </c>
      <c r="J123" s="5" t="str">
        <f t="shared" ref="J123:J154" ca="1" si="4">IF(H123="","",TODAY()-H123)</f>
        <v/>
      </c>
    </row>
    <row r="124" spans="1:10" x14ac:dyDescent="0.3">
      <c r="A124" s="5">
        <v>123</v>
      </c>
      <c r="J124" s="5" t="str">
        <f t="shared" ca="1" si="4"/>
        <v/>
      </c>
    </row>
    <row r="125" spans="1:10" x14ac:dyDescent="0.3">
      <c r="A125" s="5">
        <v>124</v>
      </c>
      <c r="J125" s="5" t="str">
        <f t="shared" ca="1" si="4"/>
        <v/>
      </c>
    </row>
    <row r="126" spans="1:10" x14ac:dyDescent="0.3">
      <c r="A126" s="5">
        <v>125</v>
      </c>
      <c r="J126" s="5" t="str">
        <f t="shared" ca="1" si="4"/>
        <v/>
      </c>
    </row>
    <row r="127" spans="1:10" x14ac:dyDescent="0.3">
      <c r="A127" s="5">
        <v>126</v>
      </c>
      <c r="J127" s="5" t="str">
        <f t="shared" ca="1" si="4"/>
        <v/>
      </c>
    </row>
    <row r="128" spans="1:10" x14ac:dyDescent="0.3">
      <c r="A128" s="5">
        <v>127</v>
      </c>
      <c r="J128" s="5" t="str">
        <f t="shared" ca="1" si="4"/>
        <v/>
      </c>
    </row>
    <row r="129" spans="1:10" x14ac:dyDescent="0.3">
      <c r="A129" s="5">
        <v>128</v>
      </c>
      <c r="J129" s="5" t="str">
        <f t="shared" ca="1" si="4"/>
        <v/>
      </c>
    </row>
    <row r="130" spans="1:10" x14ac:dyDescent="0.3">
      <c r="A130" s="5">
        <v>129</v>
      </c>
      <c r="J130" s="5" t="str">
        <f t="shared" ca="1" si="4"/>
        <v/>
      </c>
    </row>
    <row r="131" spans="1:10" x14ac:dyDescent="0.3">
      <c r="A131" s="5">
        <v>130</v>
      </c>
      <c r="J131" s="5" t="str">
        <f t="shared" ca="1" si="4"/>
        <v/>
      </c>
    </row>
    <row r="132" spans="1:10" x14ac:dyDescent="0.3">
      <c r="A132" s="5">
        <v>131</v>
      </c>
      <c r="J132" s="5" t="str">
        <f t="shared" ca="1" si="4"/>
        <v/>
      </c>
    </row>
    <row r="133" spans="1:10" x14ac:dyDescent="0.3">
      <c r="A133" s="5">
        <v>132</v>
      </c>
      <c r="J133" s="5" t="str">
        <f t="shared" ca="1" si="4"/>
        <v/>
      </c>
    </row>
    <row r="134" spans="1:10" x14ac:dyDescent="0.3">
      <c r="A134" s="5">
        <v>133</v>
      </c>
      <c r="J134" s="5" t="str">
        <f t="shared" ca="1" si="4"/>
        <v/>
      </c>
    </row>
    <row r="135" spans="1:10" x14ac:dyDescent="0.3">
      <c r="A135" s="5">
        <v>134</v>
      </c>
      <c r="J135" s="5" t="str">
        <f t="shared" ca="1" si="4"/>
        <v/>
      </c>
    </row>
    <row r="136" spans="1:10" x14ac:dyDescent="0.3">
      <c r="A136" s="5">
        <v>135</v>
      </c>
      <c r="J136" s="5" t="str">
        <f t="shared" ca="1" si="4"/>
        <v/>
      </c>
    </row>
    <row r="137" spans="1:10" x14ac:dyDescent="0.3">
      <c r="A137" s="5">
        <v>136</v>
      </c>
      <c r="J137" s="5" t="str">
        <f t="shared" ca="1" si="4"/>
        <v/>
      </c>
    </row>
    <row r="138" spans="1:10" x14ac:dyDescent="0.3">
      <c r="A138" s="5">
        <v>137</v>
      </c>
      <c r="J138" s="5" t="str">
        <f t="shared" ca="1" si="4"/>
        <v/>
      </c>
    </row>
    <row r="139" spans="1:10" x14ac:dyDescent="0.3">
      <c r="A139" s="5">
        <v>138</v>
      </c>
      <c r="J139" s="5" t="str">
        <f t="shared" ca="1" si="4"/>
        <v/>
      </c>
    </row>
    <row r="140" spans="1:10" x14ac:dyDescent="0.3">
      <c r="A140" s="5">
        <v>139</v>
      </c>
      <c r="J140" s="5" t="str">
        <f t="shared" ca="1" si="4"/>
        <v/>
      </c>
    </row>
    <row r="141" spans="1:10" x14ac:dyDescent="0.3">
      <c r="A141" s="5">
        <v>140</v>
      </c>
      <c r="J141" s="5" t="str">
        <f t="shared" ca="1" si="4"/>
        <v/>
      </c>
    </row>
    <row r="142" spans="1:10" x14ac:dyDescent="0.3">
      <c r="A142" s="5">
        <v>141</v>
      </c>
      <c r="J142" s="5" t="str">
        <f t="shared" ca="1" si="4"/>
        <v/>
      </c>
    </row>
    <row r="143" spans="1:10" x14ac:dyDescent="0.3">
      <c r="A143" s="5">
        <v>142</v>
      </c>
      <c r="J143" s="5" t="str">
        <f t="shared" ca="1" si="4"/>
        <v/>
      </c>
    </row>
    <row r="144" spans="1:10" x14ac:dyDescent="0.3">
      <c r="A144" s="5">
        <v>143</v>
      </c>
      <c r="J144" s="5" t="str">
        <f t="shared" ca="1" si="4"/>
        <v/>
      </c>
    </row>
    <row r="145" spans="1:10" x14ac:dyDescent="0.3">
      <c r="A145" s="5">
        <v>144</v>
      </c>
      <c r="J145" s="5" t="str">
        <f t="shared" ca="1" si="4"/>
        <v/>
      </c>
    </row>
    <row r="146" spans="1:10" x14ac:dyDescent="0.3">
      <c r="A146" s="5">
        <v>145</v>
      </c>
      <c r="J146" s="5" t="str">
        <f t="shared" ca="1" si="4"/>
        <v/>
      </c>
    </row>
    <row r="147" spans="1:10" x14ac:dyDescent="0.3">
      <c r="A147" s="5">
        <v>146</v>
      </c>
      <c r="J147" s="5" t="str">
        <f t="shared" ca="1" si="4"/>
        <v/>
      </c>
    </row>
    <row r="148" spans="1:10" x14ac:dyDescent="0.3">
      <c r="A148" s="5">
        <v>147</v>
      </c>
      <c r="J148" s="5" t="str">
        <f t="shared" ca="1" si="4"/>
        <v/>
      </c>
    </row>
    <row r="149" spans="1:10" x14ac:dyDescent="0.3">
      <c r="A149" s="5">
        <v>148</v>
      </c>
      <c r="J149" s="5" t="str">
        <f t="shared" ca="1" si="4"/>
        <v/>
      </c>
    </row>
    <row r="150" spans="1:10" x14ac:dyDescent="0.3">
      <c r="A150" s="5">
        <v>149</v>
      </c>
      <c r="J150" s="5" t="str">
        <f t="shared" ca="1" si="4"/>
        <v/>
      </c>
    </row>
    <row r="151" spans="1:10" x14ac:dyDescent="0.3">
      <c r="A151" s="5">
        <v>150</v>
      </c>
      <c r="J151" s="5" t="str">
        <f t="shared" ca="1" si="4"/>
        <v/>
      </c>
    </row>
    <row r="152" spans="1:10" x14ac:dyDescent="0.3">
      <c r="A152" s="5">
        <v>151</v>
      </c>
      <c r="J152" s="5" t="str">
        <f t="shared" ca="1" si="4"/>
        <v/>
      </c>
    </row>
    <row r="153" spans="1:10" x14ac:dyDescent="0.3">
      <c r="A153" s="5">
        <v>152</v>
      </c>
      <c r="J153" s="5" t="str">
        <f t="shared" ca="1" si="4"/>
        <v/>
      </c>
    </row>
    <row r="154" spans="1:10" x14ac:dyDescent="0.3">
      <c r="A154" s="5">
        <v>153</v>
      </c>
      <c r="J154" s="5" t="str">
        <f t="shared" ca="1" si="4"/>
        <v/>
      </c>
    </row>
    <row r="155" spans="1:10" x14ac:dyDescent="0.3">
      <c r="A155" s="5">
        <v>154</v>
      </c>
      <c r="J155" s="5" t="str">
        <f t="shared" ref="J155:J186" ca="1" si="5">IF(H155="","",TODAY()-H155)</f>
        <v/>
      </c>
    </row>
    <row r="156" spans="1:10" x14ac:dyDescent="0.3">
      <c r="A156" s="5">
        <v>155</v>
      </c>
      <c r="J156" s="5" t="str">
        <f t="shared" ca="1" si="5"/>
        <v/>
      </c>
    </row>
    <row r="157" spans="1:10" x14ac:dyDescent="0.3">
      <c r="A157" s="5">
        <v>156</v>
      </c>
      <c r="J157" s="5" t="str">
        <f t="shared" ca="1" si="5"/>
        <v/>
      </c>
    </row>
    <row r="158" spans="1:10" x14ac:dyDescent="0.3">
      <c r="A158" s="5">
        <v>157</v>
      </c>
      <c r="J158" s="5" t="str">
        <f t="shared" ca="1" si="5"/>
        <v/>
      </c>
    </row>
    <row r="159" spans="1:10" x14ac:dyDescent="0.3">
      <c r="A159" s="5">
        <v>158</v>
      </c>
      <c r="J159" s="5" t="str">
        <f t="shared" ca="1" si="5"/>
        <v/>
      </c>
    </row>
    <row r="160" spans="1:10" x14ac:dyDescent="0.3">
      <c r="A160" s="5">
        <v>159</v>
      </c>
      <c r="J160" s="5" t="str">
        <f t="shared" ca="1" si="5"/>
        <v/>
      </c>
    </row>
    <row r="161" spans="1:10" x14ac:dyDescent="0.3">
      <c r="A161" s="5">
        <v>160</v>
      </c>
      <c r="J161" s="5" t="str">
        <f t="shared" ca="1" si="5"/>
        <v/>
      </c>
    </row>
    <row r="162" spans="1:10" x14ac:dyDescent="0.3">
      <c r="A162" s="5">
        <v>161</v>
      </c>
      <c r="J162" s="5" t="str">
        <f t="shared" ca="1" si="5"/>
        <v/>
      </c>
    </row>
    <row r="163" spans="1:10" x14ac:dyDescent="0.3">
      <c r="A163" s="5">
        <v>162</v>
      </c>
      <c r="J163" s="5" t="str">
        <f t="shared" ca="1" si="5"/>
        <v/>
      </c>
    </row>
    <row r="164" spans="1:10" x14ac:dyDescent="0.3">
      <c r="A164" s="5">
        <v>163</v>
      </c>
      <c r="J164" s="5" t="str">
        <f t="shared" ca="1" si="5"/>
        <v/>
      </c>
    </row>
    <row r="165" spans="1:10" x14ac:dyDescent="0.3">
      <c r="A165" s="5">
        <v>164</v>
      </c>
      <c r="J165" s="5" t="str">
        <f t="shared" ca="1" si="5"/>
        <v/>
      </c>
    </row>
    <row r="166" spans="1:10" x14ac:dyDescent="0.3">
      <c r="A166" s="5">
        <v>165</v>
      </c>
      <c r="J166" s="5" t="str">
        <f t="shared" ca="1" si="5"/>
        <v/>
      </c>
    </row>
    <row r="167" spans="1:10" x14ac:dyDescent="0.3">
      <c r="A167" s="5">
        <v>166</v>
      </c>
      <c r="J167" s="5" t="str">
        <f t="shared" ca="1" si="5"/>
        <v/>
      </c>
    </row>
    <row r="168" spans="1:10" x14ac:dyDescent="0.3">
      <c r="A168" s="5">
        <v>167</v>
      </c>
      <c r="J168" s="5" t="str">
        <f t="shared" ca="1" si="5"/>
        <v/>
      </c>
    </row>
    <row r="169" spans="1:10" x14ac:dyDescent="0.3">
      <c r="A169" s="5">
        <v>168</v>
      </c>
      <c r="J169" s="5" t="str">
        <f t="shared" ca="1" si="5"/>
        <v/>
      </c>
    </row>
    <row r="170" spans="1:10" x14ac:dyDescent="0.3">
      <c r="A170" s="5">
        <v>169</v>
      </c>
      <c r="J170" s="5" t="str">
        <f t="shared" ca="1" si="5"/>
        <v/>
      </c>
    </row>
    <row r="171" spans="1:10" x14ac:dyDescent="0.3">
      <c r="A171" s="5">
        <v>170</v>
      </c>
      <c r="J171" s="5" t="str">
        <f t="shared" ca="1" si="5"/>
        <v/>
      </c>
    </row>
    <row r="172" spans="1:10" x14ac:dyDescent="0.3">
      <c r="A172" s="5">
        <v>171</v>
      </c>
      <c r="J172" s="5" t="str">
        <f t="shared" ca="1" si="5"/>
        <v/>
      </c>
    </row>
    <row r="173" spans="1:10" x14ac:dyDescent="0.3">
      <c r="A173" s="5">
        <v>172</v>
      </c>
      <c r="J173" s="5" t="str">
        <f t="shared" ca="1" si="5"/>
        <v/>
      </c>
    </row>
    <row r="174" spans="1:10" x14ac:dyDescent="0.3">
      <c r="A174" s="5">
        <v>173</v>
      </c>
      <c r="J174" s="5" t="str">
        <f t="shared" ca="1" si="5"/>
        <v/>
      </c>
    </row>
    <row r="175" spans="1:10" x14ac:dyDescent="0.3">
      <c r="A175" s="5">
        <v>174</v>
      </c>
      <c r="J175" s="5" t="str">
        <f t="shared" ca="1" si="5"/>
        <v/>
      </c>
    </row>
    <row r="176" spans="1:10" x14ac:dyDescent="0.3">
      <c r="A176" s="5">
        <v>175</v>
      </c>
      <c r="J176" s="5" t="str">
        <f t="shared" ca="1" si="5"/>
        <v/>
      </c>
    </row>
    <row r="177" spans="1:10" x14ac:dyDescent="0.3">
      <c r="A177" s="5">
        <v>176</v>
      </c>
      <c r="J177" s="5" t="str">
        <f t="shared" ca="1" si="5"/>
        <v/>
      </c>
    </row>
    <row r="178" spans="1:10" x14ac:dyDescent="0.3">
      <c r="A178" s="5">
        <v>177</v>
      </c>
      <c r="J178" s="5" t="str">
        <f t="shared" ca="1" si="5"/>
        <v/>
      </c>
    </row>
    <row r="179" spans="1:10" x14ac:dyDescent="0.3">
      <c r="A179" s="5">
        <v>178</v>
      </c>
      <c r="J179" s="5" t="str">
        <f t="shared" ca="1" si="5"/>
        <v/>
      </c>
    </row>
    <row r="180" spans="1:10" x14ac:dyDescent="0.3">
      <c r="A180" s="5">
        <v>179</v>
      </c>
      <c r="J180" s="5" t="str">
        <f t="shared" ca="1" si="5"/>
        <v/>
      </c>
    </row>
    <row r="181" spans="1:10" x14ac:dyDescent="0.3">
      <c r="A181" s="5">
        <v>180</v>
      </c>
      <c r="J181" s="5" t="str">
        <f t="shared" ca="1" si="5"/>
        <v/>
      </c>
    </row>
    <row r="182" spans="1:10" x14ac:dyDescent="0.3">
      <c r="A182" s="5">
        <v>181</v>
      </c>
      <c r="J182" s="5" t="str">
        <f t="shared" ca="1" si="5"/>
        <v/>
      </c>
    </row>
    <row r="183" spans="1:10" x14ac:dyDescent="0.3">
      <c r="A183" s="5">
        <v>182</v>
      </c>
      <c r="J183" s="5" t="str">
        <f t="shared" ca="1" si="5"/>
        <v/>
      </c>
    </row>
    <row r="184" spans="1:10" x14ac:dyDescent="0.3">
      <c r="A184" s="5">
        <v>183</v>
      </c>
      <c r="J184" s="5" t="str">
        <f t="shared" ca="1" si="5"/>
        <v/>
      </c>
    </row>
    <row r="185" spans="1:10" x14ac:dyDescent="0.3">
      <c r="A185" s="5">
        <v>184</v>
      </c>
      <c r="J185" s="5" t="str">
        <f t="shared" ca="1" si="5"/>
        <v/>
      </c>
    </row>
    <row r="186" spans="1:10" x14ac:dyDescent="0.3">
      <c r="A186" s="5">
        <v>185</v>
      </c>
      <c r="J186" s="5" t="str">
        <f t="shared" ca="1" si="5"/>
        <v/>
      </c>
    </row>
    <row r="187" spans="1:10" x14ac:dyDescent="0.3">
      <c r="A187" s="5">
        <v>186</v>
      </c>
      <c r="J187" s="5" t="str">
        <f t="shared" ref="J187:J194" ca="1" si="6">IF(H187="","",TODAY()-H187)</f>
        <v/>
      </c>
    </row>
    <row r="188" spans="1:10" x14ac:dyDescent="0.3">
      <c r="A188" s="5">
        <v>187</v>
      </c>
      <c r="J188" s="5" t="str">
        <f t="shared" ca="1" si="6"/>
        <v/>
      </c>
    </row>
    <row r="189" spans="1:10" x14ac:dyDescent="0.3">
      <c r="A189" s="5">
        <v>188</v>
      </c>
      <c r="J189" s="5" t="str">
        <f t="shared" ca="1" si="6"/>
        <v/>
      </c>
    </row>
    <row r="190" spans="1:10" x14ac:dyDescent="0.3">
      <c r="A190" s="5">
        <v>189</v>
      </c>
      <c r="J190" s="5" t="str">
        <f t="shared" ca="1" si="6"/>
        <v/>
      </c>
    </row>
    <row r="191" spans="1:10" x14ac:dyDescent="0.3">
      <c r="A191" s="5">
        <v>190</v>
      </c>
      <c r="J191" s="5" t="str">
        <f t="shared" ca="1" si="6"/>
        <v/>
      </c>
    </row>
    <row r="192" spans="1:10" x14ac:dyDescent="0.3">
      <c r="A192" s="5">
        <v>191</v>
      </c>
      <c r="J192" s="5" t="str">
        <f t="shared" ca="1" si="6"/>
        <v/>
      </c>
    </row>
    <row r="193" spans="1:10" x14ac:dyDescent="0.3">
      <c r="A193" s="5">
        <v>192</v>
      </c>
      <c r="J193" s="5" t="str">
        <f t="shared" ca="1" si="6"/>
        <v/>
      </c>
    </row>
    <row r="194" spans="1:10" x14ac:dyDescent="0.3">
      <c r="A194" s="5">
        <v>193</v>
      </c>
      <c r="J194" s="5" t="str">
        <f t="shared" ca="1" si="6"/>
        <v/>
      </c>
    </row>
  </sheetData>
  <conditionalFormatting sqref="A2:B15 A16:C17 E16:F28 H16:K28 C18:C28 A18:B194 C31 E31:F31 J31:J32 C32:H32 C36:K36 C37:C58 E37:F58 H37:K58 C59:K60 C61:J72 K61:K77 C74:J77 C78:K194 A195:K493">
    <cfRule type="expression" priority="11">
      <formula>AND($I2&lt;TODAY(),$G2&lt;&gt;"Completed",$G2&lt;&gt;"Closed")</formula>
    </cfRule>
  </conditionalFormatting>
  <conditionalFormatting sqref="H29:I31">
    <cfRule type="expression" priority="7">
      <formula>AND($I29&lt;TODAY(),$G29&lt;&gt;"Completed",$G29&lt;&gt;"Closed")</formula>
    </cfRule>
  </conditionalFormatting>
  <conditionalFormatting sqref="H33:I34">
    <cfRule type="expression" priority="3">
      <formula>AND($I33&lt;TODAY(),$G33&lt;&gt;"Completed",$G33&lt;&gt;"Closed")</formula>
    </cfRule>
  </conditionalFormatting>
  <conditionalFormatting sqref="H73:I73">
    <cfRule type="expression" priority="1">
      <formula>AND($I73&lt;TODAY(),$G73&lt;&gt;"Completed",$G73&lt;&gt;"Closed")</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2FA8-86E5-44C9-AC67-F80E1AB49C62}">
  <dimension ref="A1:L53"/>
  <sheetViews>
    <sheetView topLeftCell="E45" workbookViewId="0">
      <selection activeCell="M53" sqref="M53"/>
    </sheetView>
  </sheetViews>
  <sheetFormatPr defaultRowHeight="14.4" x14ac:dyDescent="0.3"/>
  <cols>
    <col min="1" max="1" width="10" bestFit="1" customWidth="1"/>
    <col min="2" max="2" width="20.33203125" customWidth="1"/>
    <col min="3" max="3" width="37.5546875" bestFit="1" customWidth="1"/>
    <col min="4" max="4" width="84.33203125" bestFit="1" customWidth="1"/>
    <col min="5" max="5" width="175.33203125" customWidth="1"/>
    <col min="6" max="6" width="13.88671875" bestFit="1" customWidth="1"/>
    <col min="7" max="8" width="9.33203125" customWidth="1"/>
    <col min="9" max="9" width="13.109375" bestFit="1" customWidth="1"/>
    <col min="10" max="10" width="12.5546875" bestFit="1" customWidth="1"/>
    <col min="11" max="11" width="11.33203125" bestFit="1" customWidth="1"/>
  </cols>
  <sheetData>
    <row r="1" spans="1:12" x14ac:dyDescent="0.3">
      <c r="A1" s="18" t="s">
        <v>386</v>
      </c>
      <c r="B1" s="18" t="s">
        <v>387</v>
      </c>
      <c r="C1" s="18" t="s">
        <v>388</v>
      </c>
      <c r="D1" s="18" t="s">
        <v>389</v>
      </c>
      <c r="E1" s="18" t="s">
        <v>390</v>
      </c>
      <c r="F1" s="18" t="s">
        <v>391</v>
      </c>
      <c r="G1" s="18" t="s">
        <v>4</v>
      </c>
      <c r="H1" s="18" t="s">
        <v>5</v>
      </c>
      <c r="I1" s="18" t="s">
        <v>6</v>
      </c>
      <c r="J1" s="26" t="s">
        <v>7</v>
      </c>
      <c r="K1" s="13" t="s">
        <v>8</v>
      </c>
      <c r="L1" s="18" t="s">
        <v>269</v>
      </c>
    </row>
    <row r="2" spans="1:12" x14ac:dyDescent="0.3">
      <c r="A2" t="s">
        <v>392</v>
      </c>
      <c r="B2" t="s">
        <v>393</v>
      </c>
      <c r="C2" t="s">
        <v>365</v>
      </c>
      <c r="D2" s="25" t="s">
        <v>394</v>
      </c>
      <c r="E2" s="19" t="s">
        <v>395</v>
      </c>
      <c r="F2" t="s">
        <v>396</v>
      </c>
      <c r="G2" t="s">
        <v>17</v>
      </c>
      <c r="H2" t="s">
        <v>397</v>
      </c>
      <c r="I2" t="s">
        <v>243</v>
      </c>
      <c r="J2" s="27">
        <v>46185</v>
      </c>
      <c r="K2" s="27">
        <v>46186</v>
      </c>
    </row>
    <row r="3" spans="1:12" x14ac:dyDescent="0.3">
      <c r="A3" t="s">
        <v>398</v>
      </c>
      <c r="B3" t="s">
        <v>393</v>
      </c>
      <c r="C3" t="s">
        <v>365</v>
      </c>
      <c r="D3" s="23" t="s">
        <v>399</v>
      </c>
      <c r="E3" s="20" t="s">
        <v>400</v>
      </c>
      <c r="F3" t="s">
        <v>396</v>
      </c>
      <c r="G3" t="s">
        <v>17</v>
      </c>
      <c r="H3" t="s">
        <v>397</v>
      </c>
      <c r="I3" t="s">
        <v>243</v>
      </c>
      <c r="J3" s="27">
        <v>46185</v>
      </c>
      <c r="K3" s="27">
        <v>46186</v>
      </c>
    </row>
    <row r="4" spans="1:12" x14ac:dyDescent="0.3">
      <c r="A4" t="s">
        <v>401</v>
      </c>
      <c r="B4" t="s">
        <v>393</v>
      </c>
      <c r="C4" t="s">
        <v>365</v>
      </c>
      <c r="D4" s="24" t="s">
        <v>402</v>
      </c>
      <c r="E4" s="21" t="s">
        <v>403</v>
      </c>
      <c r="F4" t="s">
        <v>396</v>
      </c>
      <c r="G4" t="s">
        <v>17</v>
      </c>
      <c r="H4" t="s">
        <v>397</v>
      </c>
      <c r="I4" t="s">
        <v>243</v>
      </c>
      <c r="J4" s="27">
        <v>46185</v>
      </c>
      <c r="K4" s="27">
        <v>46186</v>
      </c>
    </row>
    <row r="5" spans="1:12" x14ac:dyDescent="0.3">
      <c r="A5" t="s">
        <v>404</v>
      </c>
      <c r="B5" t="s">
        <v>393</v>
      </c>
      <c r="C5" t="s">
        <v>365</v>
      </c>
      <c r="D5" s="24" t="s">
        <v>405</v>
      </c>
      <c r="E5" s="21" t="s">
        <v>406</v>
      </c>
      <c r="F5" t="s">
        <v>396</v>
      </c>
      <c r="G5" t="s">
        <v>17</v>
      </c>
      <c r="H5" t="s">
        <v>397</v>
      </c>
      <c r="I5" t="s">
        <v>243</v>
      </c>
      <c r="J5" s="27">
        <v>46185</v>
      </c>
      <c r="K5" s="27">
        <v>46186</v>
      </c>
    </row>
    <row r="6" spans="1:12" x14ac:dyDescent="0.3">
      <c r="A6" t="s">
        <v>407</v>
      </c>
      <c r="B6" t="s">
        <v>393</v>
      </c>
      <c r="C6" t="s">
        <v>365</v>
      </c>
      <c r="D6" s="24" t="s">
        <v>408</v>
      </c>
      <c r="E6" s="21" t="s">
        <v>409</v>
      </c>
      <c r="F6" t="s">
        <v>396</v>
      </c>
      <c r="G6" t="s">
        <v>17</v>
      </c>
      <c r="H6" t="s">
        <v>397</v>
      </c>
      <c r="I6" t="s">
        <v>243</v>
      </c>
      <c r="J6" s="27">
        <v>46185</v>
      </c>
      <c r="K6" s="27">
        <v>46186</v>
      </c>
    </row>
    <row r="7" spans="1:12" x14ac:dyDescent="0.3">
      <c r="A7" t="s">
        <v>410</v>
      </c>
      <c r="B7" t="s">
        <v>393</v>
      </c>
      <c r="C7" t="s">
        <v>365</v>
      </c>
      <c r="D7" s="24" t="s">
        <v>411</v>
      </c>
      <c r="E7" s="21" t="s">
        <v>412</v>
      </c>
      <c r="F7" t="s">
        <v>396</v>
      </c>
      <c r="G7" t="s">
        <v>17</v>
      </c>
      <c r="H7" t="s">
        <v>397</v>
      </c>
      <c r="I7" t="s">
        <v>243</v>
      </c>
      <c r="J7" s="27">
        <v>46185</v>
      </c>
      <c r="K7" s="27">
        <v>46186</v>
      </c>
    </row>
    <row r="8" spans="1:12" x14ac:dyDescent="0.3">
      <c r="A8" t="s">
        <v>413</v>
      </c>
      <c r="B8" t="s">
        <v>393</v>
      </c>
      <c r="C8" t="s">
        <v>365</v>
      </c>
      <c r="D8" s="24" t="s">
        <v>414</v>
      </c>
      <c r="E8" s="21" t="s">
        <v>415</v>
      </c>
      <c r="F8" t="s">
        <v>396</v>
      </c>
      <c r="G8" t="s">
        <v>17</v>
      </c>
      <c r="H8" t="s">
        <v>397</v>
      </c>
      <c r="I8" t="s">
        <v>243</v>
      </c>
      <c r="J8" s="27">
        <v>46185</v>
      </c>
      <c r="K8" s="27">
        <v>46186</v>
      </c>
    </row>
    <row r="9" spans="1:12" x14ac:dyDescent="0.3">
      <c r="A9" t="s">
        <v>416</v>
      </c>
      <c r="B9" t="s">
        <v>393</v>
      </c>
      <c r="C9" t="s">
        <v>365</v>
      </c>
      <c r="D9" s="24" t="s">
        <v>417</v>
      </c>
      <c r="E9" s="21" t="s">
        <v>418</v>
      </c>
      <c r="F9" t="s">
        <v>396</v>
      </c>
      <c r="G9" t="s">
        <v>17</v>
      </c>
      <c r="H9" t="s">
        <v>397</v>
      </c>
      <c r="I9" t="s">
        <v>243</v>
      </c>
      <c r="J9" s="27">
        <v>46185</v>
      </c>
      <c r="K9" s="27">
        <v>46186</v>
      </c>
    </row>
    <row r="10" spans="1:12" x14ac:dyDescent="0.3">
      <c r="A10" t="s">
        <v>419</v>
      </c>
      <c r="B10" t="s">
        <v>393</v>
      </c>
      <c r="C10" t="s">
        <v>365</v>
      </c>
      <c r="D10" s="24" t="s">
        <v>420</v>
      </c>
      <c r="E10" s="21" t="s">
        <v>421</v>
      </c>
      <c r="F10" t="s">
        <v>396</v>
      </c>
      <c r="G10" t="s">
        <v>17</v>
      </c>
      <c r="H10" t="s">
        <v>397</v>
      </c>
      <c r="I10" t="s">
        <v>243</v>
      </c>
      <c r="J10" s="27">
        <v>46185</v>
      </c>
      <c r="K10" s="27">
        <v>46186</v>
      </c>
    </row>
    <row r="11" spans="1:12" x14ac:dyDescent="0.3">
      <c r="A11" t="s">
        <v>422</v>
      </c>
      <c r="B11" t="s">
        <v>393</v>
      </c>
      <c r="C11" t="s">
        <v>365</v>
      </c>
      <c r="D11" s="24" t="s">
        <v>423</v>
      </c>
      <c r="E11" s="21" t="s">
        <v>424</v>
      </c>
      <c r="F11" t="s">
        <v>396</v>
      </c>
      <c r="G11" t="s">
        <v>17</v>
      </c>
      <c r="H11" t="s">
        <v>397</v>
      </c>
      <c r="I11" t="s">
        <v>243</v>
      </c>
      <c r="J11" s="27">
        <v>46185</v>
      </c>
      <c r="K11" s="27">
        <v>46186</v>
      </c>
    </row>
    <row r="12" spans="1:12" x14ac:dyDescent="0.3">
      <c r="A12" t="s">
        <v>425</v>
      </c>
      <c r="B12" t="s">
        <v>393</v>
      </c>
      <c r="C12" t="s">
        <v>365</v>
      </c>
      <c r="D12" s="24" t="s">
        <v>426</v>
      </c>
      <c r="E12" s="21" t="s">
        <v>427</v>
      </c>
      <c r="F12" t="s">
        <v>396</v>
      </c>
      <c r="G12" t="s">
        <v>17</v>
      </c>
      <c r="H12" t="s">
        <v>397</v>
      </c>
      <c r="I12" t="s">
        <v>243</v>
      </c>
      <c r="J12" s="27">
        <v>46185</v>
      </c>
      <c r="K12" s="27">
        <v>46186</v>
      </c>
    </row>
    <row r="13" spans="1:12" ht="27.6" x14ac:dyDescent="0.3">
      <c r="A13" t="s">
        <v>428</v>
      </c>
      <c r="B13" t="s">
        <v>393</v>
      </c>
      <c r="C13" t="s">
        <v>365</v>
      </c>
      <c r="D13" s="24" t="s">
        <v>429</v>
      </c>
      <c r="E13" s="21" t="s">
        <v>430</v>
      </c>
      <c r="F13" t="s">
        <v>396</v>
      </c>
      <c r="G13" t="s">
        <v>17</v>
      </c>
      <c r="H13" t="s">
        <v>397</v>
      </c>
      <c r="I13" t="s">
        <v>243</v>
      </c>
      <c r="J13" s="27">
        <v>46185</v>
      </c>
      <c r="K13" s="27">
        <v>46186</v>
      </c>
    </row>
    <row r="14" spans="1:12" x14ac:dyDescent="0.3">
      <c r="A14" t="s">
        <v>431</v>
      </c>
      <c r="B14" t="s">
        <v>393</v>
      </c>
      <c r="C14" t="s">
        <v>365</v>
      </c>
      <c r="D14" s="24" t="s">
        <v>432</v>
      </c>
      <c r="E14" s="21" t="s">
        <v>433</v>
      </c>
      <c r="F14" t="s">
        <v>396</v>
      </c>
      <c r="G14" t="s">
        <v>17</v>
      </c>
      <c r="H14" t="s">
        <v>397</v>
      </c>
      <c r="I14" t="s">
        <v>243</v>
      </c>
      <c r="J14" s="27">
        <v>46185</v>
      </c>
      <c r="K14" s="27">
        <v>46186</v>
      </c>
    </row>
    <row r="15" spans="1:12" x14ac:dyDescent="0.3">
      <c r="A15" t="s">
        <v>434</v>
      </c>
      <c r="B15" t="s">
        <v>393</v>
      </c>
      <c r="C15" t="s">
        <v>365</v>
      </c>
      <c r="D15" s="24" t="s">
        <v>435</v>
      </c>
      <c r="E15" s="21" t="s">
        <v>436</v>
      </c>
      <c r="F15" t="s">
        <v>396</v>
      </c>
      <c r="G15" t="s">
        <v>17</v>
      </c>
      <c r="H15" t="s">
        <v>397</v>
      </c>
      <c r="I15" t="s">
        <v>243</v>
      </c>
      <c r="J15" s="27">
        <v>46185</v>
      </c>
      <c r="K15" s="27">
        <v>46186</v>
      </c>
    </row>
    <row r="16" spans="1:12" x14ac:dyDescent="0.3">
      <c r="A16" t="s">
        <v>437</v>
      </c>
      <c r="B16" t="s">
        <v>393</v>
      </c>
      <c r="C16" t="s">
        <v>365</v>
      </c>
      <c r="D16" s="24" t="s">
        <v>438</v>
      </c>
      <c r="E16" s="21" t="s">
        <v>439</v>
      </c>
      <c r="F16" t="s">
        <v>396</v>
      </c>
      <c r="G16" t="s">
        <v>17</v>
      </c>
      <c r="H16" t="s">
        <v>397</v>
      </c>
      <c r="I16" t="s">
        <v>243</v>
      </c>
      <c r="J16" s="27">
        <v>46185</v>
      </c>
      <c r="K16" s="27">
        <v>46186</v>
      </c>
    </row>
    <row r="17" spans="1:12" x14ac:dyDescent="0.3">
      <c r="A17" t="s">
        <v>440</v>
      </c>
      <c r="B17" t="s">
        <v>393</v>
      </c>
      <c r="C17" t="s">
        <v>365</v>
      </c>
      <c r="D17" s="24" t="s">
        <v>441</v>
      </c>
      <c r="E17" s="21" t="s">
        <v>442</v>
      </c>
      <c r="F17" t="s">
        <v>396</v>
      </c>
      <c r="G17" t="s">
        <v>17</v>
      </c>
      <c r="H17" t="s">
        <v>397</v>
      </c>
      <c r="I17" t="s">
        <v>243</v>
      </c>
      <c r="J17" s="27">
        <v>46185</v>
      </c>
      <c r="K17" s="27">
        <v>46186</v>
      </c>
    </row>
    <row r="18" spans="1:12" x14ac:dyDescent="0.3">
      <c r="A18" t="s">
        <v>443</v>
      </c>
      <c r="B18" t="s">
        <v>393</v>
      </c>
      <c r="C18" t="s">
        <v>365</v>
      </c>
      <c r="D18" s="24" t="s">
        <v>444</v>
      </c>
      <c r="E18" s="21" t="s">
        <v>445</v>
      </c>
      <c r="F18" t="s">
        <v>396</v>
      </c>
      <c r="G18" t="s">
        <v>17</v>
      </c>
      <c r="H18" t="s">
        <v>397</v>
      </c>
      <c r="I18" t="s">
        <v>243</v>
      </c>
      <c r="J18" s="27">
        <v>46185</v>
      </c>
      <c r="K18" s="27">
        <v>46186</v>
      </c>
    </row>
    <row r="19" spans="1:12" x14ac:dyDescent="0.3">
      <c r="A19" t="s">
        <v>446</v>
      </c>
      <c r="B19" t="s">
        <v>393</v>
      </c>
      <c r="C19" t="s">
        <v>365</v>
      </c>
      <c r="D19" s="24" t="s">
        <v>447</v>
      </c>
      <c r="E19" s="21" t="s">
        <v>448</v>
      </c>
      <c r="F19" t="s">
        <v>396</v>
      </c>
      <c r="G19" t="s">
        <v>17</v>
      </c>
      <c r="H19" t="s">
        <v>397</v>
      </c>
      <c r="I19" t="s">
        <v>243</v>
      </c>
      <c r="J19" s="27">
        <v>46185</v>
      </c>
      <c r="K19" s="27">
        <v>46186</v>
      </c>
    </row>
    <row r="20" spans="1:12" x14ac:dyDescent="0.3">
      <c r="A20" t="s">
        <v>449</v>
      </c>
      <c r="B20" t="s">
        <v>393</v>
      </c>
      <c r="C20" t="s">
        <v>365</v>
      </c>
      <c r="D20" s="24" t="s">
        <v>450</v>
      </c>
      <c r="E20" s="22" t="s">
        <v>451</v>
      </c>
      <c r="F20" t="s">
        <v>396</v>
      </c>
      <c r="G20" t="s">
        <v>17</v>
      </c>
      <c r="H20" t="s">
        <v>397</v>
      </c>
      <c r="I20" t="s">
        <v>243</v>
      </c>
      <c r="J20" s="27">
        <v>46185</v>
      </c>
      <c r="K20" s="27">
        <v>46186</v>
      </c>
    </row>
    <row r="21" spans="1:12" x14ac:dyDescent="0.3">
      <c r="A21" t="s">
        <v>452</v>
      </c>
      <c r="B21" t="s">
        <v>393</v>
      </c>
      <c r="C21" t="s">
        <v>365</v>
      </c>
      <c r="D21" s="24" t="s">
        <v>453</v>
      </c>
      <c r="E21" s="21" t="s">
        <v>454</v>
      </c>
      <c r="F21" t="s">
        <v>396</v>
      </c>
      <c r="G21" t="s">
        <v>17</v>
      </c>
      <c r="H21" t="s">
        <v>397</v>
      </c>
      <c r="I21" t="s">
        <v>243</v>
      </c>
      <c r="J21" s="27">
        <v>46185</v>
      </c>
      <c r="K21" s="27">
        <v>46186</v>
      </c>
    </row>
    <row r="22" spans="1:12" x14ac:dyDescent="0.3">
      <c r="A22" t="s">
        <v>455</v>
      </c>
      <c r="B22" t="s">
        <v>393</v>
      </c>
      <c r="C22" t="s">
        <v>365</v>
      </c>
      <c r="D22" s="24" t="s">
        <v>456</v>
      </c>
      <c r="E22" s="21" t="s">
        <v>457</v>
      </c>
      <c r="F22" t="s">
        <v>396</v>
      </c>
      <c r="G22" t="s">
        <v>17</v>
      </c>
      <c r="H22" t="s">
        <v>397</v>
      </c>
      <c r="I22" t="s">
        <v>243</v>
      </c>
      <c r="J22" s="27">
        <v>46185</v>
      </c>
      <c r="K22" s="27">
        <v>46186</v>
      </c>
    </row>
    <row r="23" spans="1:12" x14ac:dyDescent="0.3">
      <c r="A23" t="s">
        <v>249</v>
      </c>
      <c r="B23" t="s">
        <v>458</v>
      </c>
      <c r="C23" t="s">
        <v>459</v>
      </c>
      <c r="D23" s="33" t="s">
        <v>460</v>
      </c>
      <c r="E23" s="29" t="s">
        <v>461</v>
      </c>
      <c r="F23" t="s">
        <v>396</v>
      </c>
      <c r="G23" t="s">
        <v>65</v>
      </c>
      <c r="H23" t="s">
        <v>397</v>
      </c>
      <c r="I23" t="s">
        <v>243</v>
      </c>
      <c r="J23" s="27">
        <v>46185</v>
      </c>
      <c r="K23" s="27">
        <v>46186</v>
      </c>
    </row>
    <row r="24" spans="1:12" x14ac:dyDescent="0.3">
      <c r="A24" t="s">
        <v>462</v>
      </c>
      <c r="B24" t="s">
        <v>458</v>
      </c>
      <c r="C24" t="s">
        <v>463</v>
      </c>
      <c r="D24" s="33" t="s">
        <v>464</v>
      </c>
      <c r="E24" s="29" t="s">
        <v>465</v>
      </c>
      <c r="F24" t="s">
        <v>396</v>
      </c>
      <c r="G24" t="s">
        <v>34</v>
      </c>
      <c r="H24" t="s">
        <v>397</v>
      </c>
      <c r="I24" t="s">
        <v>243</v>
      </c>
      <c r="J24" s="27">
        <v>46185</v>
      </c>
      <c r="K24" s="27">
        <v>46187</v>
      </c>
    </row>
    <row r="25" spans="1:12" x14ac:dyDescent="0.3">
      <c r="A25" t="s">
        <v>183</v>
      </c>
      <c r="B25" t="s">
        <v>466</v>
      </c>
      <c r="C25" t="s">
        <v>467</v>
      </c>
      <c r="E25" t="s">
        <v>468</v>
      </c>
      <c r="F25" t="s">
        <v>279</v>
      </c>
      <c r="G25" t="s">
        <v>17</v>
      </c>
      <c r="H25" t="s">
        <v>397</v>
      </c>
      <c r="I25" t="s">
        <v>213</v>
      </c>
      <c r="J25" s="27">
        <v>46185</v>
      </c>
      <c r="K25" s="27">
        <v>46185</v>
      </c>
    </row>
    <row r="26" spans="1:12" x14ac:dyDescent="0.3">
      <c r="A26" t="s">
        <v>186</v>
      </c>
      <c r="B26" t="s">
        <v>466</v>
      </c>
      <c r="C26" t="s">
        <v>469</v>
      </c>
      <c r="E26" t="s">
        <v>468</v>
      </c>
      <c r="F26" t="s">
        <v>279</v>
      </c>
      <c r="G26" t="s">
        <v>17</v>
      </c>
      <c r="H26" t="s">
        <v>397</v>
      </c>
      <c r="I26" t="s">
        <v>213</v>
      </c>
      <c r="J26" s="27">
        <v>46185</v>
      </c>
      <c r="K26" s="27">
        <v>46185</v>
      </c>
    </row>
    <row r="27" spans="1:12" x14ac:dyDescent="0.3">
      <c r="A27" t="s">
        <v>197</v>
      </c>
      <c r="B27" t="s">
        <v>466</v>
      </c>
      <c r="C27" t="s">
        <v>470</v>
      </c>
      <c r="E27" t="s">
        <v>468</v>
      </c>
      <c r="F27" t="s">
        <v>279</v>
      </c>
      <c r="G27" t="s">
        <v>17</v>
      </c>
      <c r="H27" t="s">
        <v>397</v>
      </c>
      <c r="I27" t="s">
        <v>213</v>
      </c>
      <c r="J27" s="27">
        <v>46185</v>
      </c>
      <c r="K27" s="27">
        <v>46185</v>
      </c>
    </row>
    <row r="28" spans="1:12" x14ac:dyDescent="0.3">
      <c r="A28" t="s">
        <v>200</v>
      </c>
      <c r="B28" t="s">
        <v>466</v>
      </c>
      <c r="C28" t="s">
        <v>471</v>
      </c>
      <c r="E28" t="s">
        <v>468</v>
      </c>
      <c r="F28" t="s">
        <v>279</v>
      </c>
      <c r="G28" t="s">
        <v>17</v>
      </c>
      <c r="H28" t="s">
        <v>397</v>
      </c>
      <c r="I28" t="s">
        <v>213</v>
      </c>
      <c r="J28" s="27">
        <v>46185</v>
      </c>
      <c r="K28" s="27">
        <v>46185</v>
      </c>
    </row>
    <row r="29" spans="1:12" x14ac:dyDescent="0.3">
      <c r="A29" t="s">
        <v>202</v>
      </c>
      <c r="B29" t="s">
        <v>466</v>
      </c>
      <c r="C29" t="s">
        <v>472</v>
      </c>
      <c r="E29" t="s">
        <v>468</v>
      </c>
      <c r="F29" t="s">
        <v>279</v>
      </c>
      <c r="G29" t="s">
        <v>17</v>
      </c>
      <c r="H29" t="s">
        <v>397</v>
      </c>
      <c r="I29" t="s">
        <v>173</v>
      </c>
      <c r="J29" s="27">
        <v>46185</v>
      </c>
      <c r="K29" s="27">
        <v>46185</v>
      </c>
    </row>
    <row r="30" spans="1:12" x14ac:dyDescent="0.3">
      <c r="A30" t="s">
        <v>473</v>
      </c>
      <c r="B30" t="s">
        <v>329</v>
      </c>
      <c r="C30" t="s">
        <v>474</v>
      </c>
      <c r="E30" t="s">
        <v>468</v>
      </c>
      <c r="F30" t="s">
        <v>279</v>
      </c>
      <c r="G30" t="s">
        <v>17</v>
      </c>
      <c r="H30" t="s">
        <v>397</v>
      </c>
      <c r="I30" t="s">
        <v>173</v>
      </c>
      <c r="J30" s="27">
        <v>46185</v>
      </c>
      <c r="K30" s="27">
        <v>46185</v>
      </c>
    </row>
    <row r="31" spans="1:12" x14ac:dyDescent="0.3">
      <c r="A31" t="s">
        <v>475</v>
      </c>
      <c r="B31" t="s">
        <v>329</v>
      </c>
      <c r="C31" t="s">
        <v>476</v>
      </c>
      <c r="D31" t="s">
        <v>330</v>
      </c>
      <c r="E31" t="s">
        <v>468</v>
      </c>
      <c r="F31" t="s">
        <v>279</v>
      </c>
      <c r="G31" t="s">
        <v>17</v>
      </c>
      <c r="H31" t="s">
        <v>397</v>
      </c>
      <c r="I31" t="s">
        <v>173</v>
      </c>
      <c r="J31" s="27">
        <v>46185</v>
      </c>
      <c r="K31" s="27">
        <v>46185</v>
      </c>
      <c r="L31">
        <v>30</v>
      </c>
    </row>
    <row r="32" spans="1:12" x14ac:dyDescent="0.3">
      <c r="A32" t="s">
        <v>477</v>
      </c>
      <c r="B32" t="s">
        <v>329</v>
      </c>
      <c r="C32" t="s">
        <v>478</v>
      </c>
      <c r="E32" t="s">
        <v>468</v>
      </c>
      <c r="F32" t="s">
        <v>279</v>
      </c>
      <c r="G32" t="s">
        <v>17</v>
      </c>
      <c r="H32" t="s">
        <v>397</v>
      </c>
      <c r="I32" t="s">
        <v>173</v>
      </c>
      <c r="J32" s="27">
        <v>46185</v>
      </c>
      <c r="K32" s="27">
        <v>46185</v>
      </c>
    </row>
    <row r="33" spans="1:12" x14ac:dyDescent="0.3">
      <c r="A33" t="s">
        <v>249</v>
      </c>
      <c r="B33" t="s">
        <v>479</v>
      </c>
      <c r="C33" t="s">
        <v>480</v>
      </c>
      <c r="D33" t="s">
        <v>481</v>
      </c>
      <c r="E33" t="s">
        <v>482</v>
      </c>
      <c r="F33" t="s">
        <v>279</v>
      </c>
      <c r="G33" t="s">
        <v>17</v>
      </c>
      <c r="H33" t="s">
        <v>397</v>
      </c>
      <c r="I33" t="s">
        <v>243</v>
      </c>
      <c r="J33" s="27">
        <v>46186</v>
      </c>
      <c r="K33" s="27">
        <v>46186</v>
      </c>
    </row>
    <row r="34" spans="1:12" x14ac:dyDescent="0.3">
      <c r="A34" t="s">
        <v>462</v>
      </c>
      <c r="B34" t="s">
        <v>479</v>
      </c>
      <c r="C34" t="s">
        <v>483</v>
      </c>
      <c r="D34" t="s">
        <v>484</v>
      </c>
      <c r="E34" t="s">
        <v>468</v>
      </c>
      <c r="F34" t="s">
        <v>279</v>
      </c>
      <c r="G34" t="s">
        <v>17</v>
      </c>
      <c r="H34" t="s">
        <v>485</v>
      </c>
      <c r="I34" t="s">
        <v>243</v>
      </c>
      <c r="J34" s="27">
        <v>46186</v>
      </c>
      <c r="K34" s="27">
        <v>46186</v>
      </c>
    </row>
    <row r="35" spans="1:12" x14ac:dyDescent="0.3">
      <c r="A35" t="s">
        <v>486</v>
      </c>
      <c r="B35" t="s">
        <v>479</v>
      </c>
      <c r="C35" t="s">
        <v>483</v>
      </c>
      <c r="D35" t="s">
        <v>487</v>
      </c>
      <c r="E35" t="s">
        <v>468</v>
      </c>
      <c r="F35" t="s">
        <v>279</v>
      </c>
      <c r="G35" t="s">
        <v>17</v>
      </c>
      <c r="H35" t="s">
        <v>485</v>
      </c>
      <c r="I35" t="s">
        <v>243</v>
      </c>
      <c r="J35" s="27">
        <v>46186</v>
      </c>
      <c r="K35" s="27">
        <v>46186</v>
      </c>
    </row>
    <row r="36" spans="1:12" x14ac:dyDescent="0.3">
      <c r="A36" t="s">
        <v>488</v>
      </c>
      <c r="B36" t="s">
        <v>479</v>
      </c>
      <c r="C36" t="s">
        <v>483</v>
      </c>
      <c r="D36" t="s">
        <v>489</v>
      </c>
      <c r="E36" t="s">
        <v>468</v>
      </c>
      <c r="F36" t="s">
        <v>279</v>
      </c>
      <c r="G36" t="s">
        <v>17</v>
      </c>
      <c r="H36" t="s">
        <v>485</v>
      </c>
      <c r="I36" t="s">
        <v>243</v>
      </c>
      <c r="J36" s="27">
        <v>46186</v>
      </c>
      <c r="K36" s="27">
        <v>46186</v>
      </c>
    </row>
    <row r="37" spans="1:12" x14ac:dyDescent="0.3">
      <c r="A37" t="s">
        <v>490</v>
      </c>
      <c r="B37" t="s">
        <v>479</v>
      </c>
      <c r="C37" t="s">
        <v>491</v>
      </c>
      <c r="D37" t="s">
        <v>492</v>
      </c>
      <c r="E37" t="s">
        <v>482</v>
      </c>
      <c r="F37" t="s">
        <v>279</v>
      </c>
      <c r="G37" t="s">
        <v>17</v>
      </c>
      <c r="H37" t="s">
        <v>485</v>
      </c>
      <c r="I37" t="s">
        <v>243</v>
      </c>
      <c r="J37" s="27">
        <v>46186</v>
      </c>
      <c r="K37" s="27">
        <v>46186</v>
      </c>
    </row>
    <row r="38" spans="1:12" x14ac:dyDescent="0.3">
      <c r="A38" t="s">
        <v>493</v>
      </c>
      <c r="B38" t="s">
        <v>479</v>
      </c>
      <c r="C38" t="s">
        <v>459</v>
      </c>
      <c r="D38" t="s">
        <v>494</v>
      </c>
      <c r="E38" t="s">
        <v>482</v>
      </c>
      <c r="F38" t="s">
        <v>243</v>
      </c>
      <c r="G38" t="s">
        <v>17</v>
      </c>
      <c r="H38" t="s">
        <v>485</v>
      </c>
      <c r="I38" t="s">
        <v>243</v>
      </c>
      <c r="J38" s="27">
        <v>46186</v>
      </c>
      <c r="K38" s="27">
        <v>46186</v>
      </c>
    </row>
    <row r="39" spans="1:12" x14ac:dyDescent="0.3">
      <c r="A39" t="s">
        <v>495</v>
      </c>
      <c r="B39" t="s">
        <v>479</v>
      </c>
      <c r="C39" t="s">
        <v>496</v>
      </c>
      <c r="D39" t="s">
        <v>497</v>
      </c>
      <c r="E39" t="s">
        <v>498</v>
      </c>
      <c r="F39" t="s">
        <v>279</v>
      </c>
      <c r="G39" t="s">
        <v>17</v>
      </c>
      <c r="H39" t="s">
        <v>397</v>
      </c>
      <c r="I39" t="s">
        <v>243</v>
      </c>
      <c r="J39" s="27">
        <v>46186</v>
      </c>
      <c r="K39" s="27">
        <v>46186</v>
      </c>
    </row>
    <row r="44" spans="1:12" x14ac:dyDescent="0.3">
      <c r="E44" t="s">
        <v>499</v>
      </c>
    </row>
    <row r="45" spans="1:12" ht="28.8" x14ac:dyDescent="0.3">
      <c r="A45" t="s">
        <v>500</v>
      </c>
      <c r="B45" s="19" t="s">
        <v>329</v>
      </c>
      <c r="C45" t="s">
        <v>478</v>
      </c>
      <c r="D45" t="s">
        <v>501</v>
      </c>
      <c r="E45" t="s">
        <v>502</v>
      </c>
      <c r="F45" t="s">
        <v>332</v>
      </c>
      <c r="G45" t="s">
        <v>17</v>
      </c>
      <c r="H45" t="s">
        <v>242</v>
      </c>
      <c r="I45" t="s">
        <v>173</v>
      </c>
      <c r="J45" s="17">
        <v>46186</v>
      </c>
      <c r="K45" s="17">
        <v>46186</v>
      </c>
      <c r="L45">
        <v>31</v>
      </c>
    </row>
    <row r="46" spans="1:12" ht="28.8" x14ac:dyDescent="0.3">
      <c r="A46" t="s">
        <v>503</v>
      </c>
      <c r="B46" s="19" t="s">
        <v>504</v>
      </c>
      <c r="C46" t="s">
        <v>478</v>
      </c>
      <c r="D46" t="s">
        <v>505</v>
      </c>
      <c r="E46" t="s">
        <v>506</v>
      </c>
      <c r="F46" t="s">
        <v>332</v>
      </c>
      <c r="G46" t="s">
        <v>17</v>
      </c>
      <c r="H46" t="s">
        <v>485</v>
      </c>
      <c r="I46" t="s">
        <v>173</v>
      </c>
      <c r="J46" s="17">
        <v>46186</v>
      </c>
      <c r="K46" s="17">
        <v>46186</v>
      </c>
      <c r="L46">
        <v>35</v>
      </c>
    </row>
    <row r="47" spans="1:12" ht="28.8" x14ac:dyDescent="0.3">
      <c r="A47" t="s">
        <v>507</v>
      </c>
      <c r="B47" s="19" t="s">
        <v>329</v>
      </c>
      <c r="C47" t="s">
        <v>478</v>
      </c>
      <c r="D47" t="s">
        <v>501</v>
      </c>
      <c r="E47" t="s">
        <v>508</v>
      </c>
      <c r="F47" t="s">
        <v>332</v>
      </c>
      <c r="G47" t="s">
        <v>34</v>
      </c>
      <c r="H47" t="s">
        <v>485</v>
      </c>
      <c r="I47" t="s">
        <v>173</v>
      </c>
      <c r="J47" s="17">
        <v>46186</v>
      </c>
      <c r="K47" s="17">
        <v>46186</v>
      </c>
      <c r="L47">
        <v>58</v>
      </c>
    </row>
    <row r="48" spans="1:12" ht="28.8" x14ac:dyDescent="0.3">
      <c r="A48" t="s">
        <v>509</v>
      </c>
      <c r="B48" s="19" t="s">
        <v>329</v>
      </c>
      <c r="C48" t="s">
        <v>478</v>
      </c>
      <c r="D48" t="s">
        <v>510</v>
      </c>
      <c r="E48" s="78" t="s">
        <v>511</v>
      </c>
      <c r="F48" t="s">
        <v>332</v>
      </c>
      <c r="G48" t="s">
        <v>17</v>
      </c>
      <c r="H48" t="s">
        <v>485</v>
      </c>
      <c r="I48" t="s">
        <v>173</v>
      </c>
      <c r="J48" s="17">
        <v>46186</v>
      </c>
      <c r="K48" s="81">
        <v>46186</v>
      </c>
      <c r="L48">
        <v>73</v>
      </c>
    </row>
    <row r="49" spans="1:12" ht="28.8" x14ac:dyDescent="0.3">
      <c r="A49" t="s">
        <v>512</v>
      </c>
      <c r="B49" s="19" t="s">
        <v>329</v>
      </c>
      <c r="C49" t="s">
        <v>478</v>
      </c>
      <c r="D49" t="s">
        <v>513</v>
      </c>
      <c r="E49" t="s">
        <v>514</v>
      </c>
      <c r="F49" t="s">
        <v>332</v>
      </c>
      <c r="G49" t="s">
        <v>34</v>
      </c>
      <c r="H49" t="s">
        <v>485</v>
      </c>
      <c r="I49" t="s">
        <v>173</v>
      </c>
      <c r="J49" s="17">
        <v>46186</v>
      </c>
      <c r="K49" s="17">
        <v>46186</v>
      </c>
      <c r="L49">
        <v>74</v>
      </c>
    </row>
    <row r="50" spans="1:12" ht="28.8" x14ac:dyDescent="0.3">
      <c r="A50" t="s">
        <v>515</v>
      </c>
      <c r="B50" s="19" t="s">
        <v>329</v>
      </c>
      <c r="C50" t="s">
        <v>478</v>
      </c>
      <c r="D50" t="s">
        <v>516</v>
      </c>
      <c r="E50" t="s">
        <v>517</v>
      </c>
      <c r="F50" t="s">
        <v>332</v>
      </c>
      <c r="G50" t="s">
        <v>34</v>
      </c>
      <c r="H50" t="s">
        <v>485</v>
      </c>
      <c r="I50" t="s">
        <v>173</v>
      </c>
      <c r="J50" s="17">
        <v>46186</v>
      </c>
      <c r="K50" s="17">
        <v>46186</v>
      </c>
      <c r="L50">
        <v>75</v>
      </c>
    </row>
    <row r="51" spans="1:12" ht="28.8" x14ac:dyDescent="0.3">
      <c r="A51" t="s">
        <v>518</v>
      </c>
      <c r="B51" s="19" t="s">
        <v>329</v>
      </c>
      <c r="C51" t="s">
        <v>478</v>
      </c>
      <c r="D51" t="s">
        <v>501</v>
      </c>
      <c r="E51" t="s">
        <v>519</v>
      </c>
      <c r="F51" t="s">
        <v>332</v>
      </c>
      <c r="G51" t="s">
        <v>34</v>
      </c>
      <c r="H51" t="s">
        <v>485</v>
      </c>
      <c r="I51" t="s">
        <v>173</v>
      </c>
      <c r="J51" s="17">
        <v>46186</v>
      </c>
      <c r="K51" s="17">
        <v>46186</v>
      </c>
      <c r="L51">
        <v>76</v>
      </c>
    </row>
    <row r="52" spans="1:12" ht="28.8" x14ac:dyDescent="0.3">
      <c r="A52" t="s">
        <v>520</v>
      </c>
      <c r="B52" s="19" t="s">
        <v>329</v>
      </c>
      <c r="C52" t="s">
        <v>478</v>
      </c>
      <c r="D52" t="s">
        <v>501</v>
      </c>
      <c r="E52" t="s">
        <v>521</v>
      </c>
      <c r="F52" t="s">
        <v>332</v>
      </c>
      <c r="G52" t="s">
        <v>34</v>
      </c>
      <c r="H52" t="s">
        <v>485</v>
      </c>
      <c r="I52" t="s">
        <v>173</v>
      </c>
      <c r="J52" s="17">
        <v>46186</v>
      </c>
      <c r="K52" s="17">
        <v>46186</v>
      </c>
      <c r="L52">
        <v>77</v>
      </c>
    </row>
    <row r="53" spans="1:12" ht="28.8" x14ac:dyDescent="0.3">
      <c r="A53" t="s">
        <v>522</v>
      </c>
      <c r="B53" s="19" t="s">
        <v>329</v>
      </c>
      <c r="C53" t="s">
        <v>478</v>
      </c>
      <c r="D53" t="s">
        <v>523</v>
      </c>
      <c r="E53" t="s">
        <v>524</v>
      </c>
      <c r="F53" t="s">
        <v>332</v>
      </c>
      <c r="G53" t="s">
        <v>34</v>
      </c>
      <c r="H53" t="s">
        <v>485</v>
      </c>
      <c r="I53" t="s">
        <v>173</v>
      </c>
      <c r="J53" s="17">
        <v>46186</v>
      </c>
      <c r="K53" s="17">
        <v>46186</v>
      </c>
      <c r="L53">
        <v>78</v>
      </c>
    </row>
  </sheetData>
  <conditionalFormatting sqref="L31">
    <cfRule type="expression" priority="1">
      <formula>AND($H31&lt;TODAY(),$F31&lt;&gt;"Completed",$F31&lt;&gt;"Closed")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1"/>
  <sheetViews>
    <sheetView workbookViewId="0"/>
  </sheetViews>
  <sheetFormatPr defaultRowHeight="14.4" x14ac:dyDescent="0.3"/>
  <cols>
    <col min="1" max="7" width="22" customWidth="1"/>
  </cols>
  <sheetData>
    <row r="1" spans="1:7" x14ac:dyDescent="0.3">
      <c r="A1" s="1" t="s">
        <v>525</v>
      </c>
      <c r="B1" s="1" t="s">
        <v>526</v>
      </c>
      <c r="C1" s="1" t="s">
        <v>527</v>
      </c>
      <c r="D1" s="1" t="s">
        <v>528</v>
      </c>
      <c r="E1" s="1" t="s">
        <v>529</v>
      </c>
      <c r="F1" s="1" t="s">
        <v>530</v>
      </c>
      <c r="G1" s="1" t="s">
        <v>531</v>
      </c>
    </row>
    <row r="2" spans="1:7" x14ac:dyDescent="0.3">
      <c r="F2" t="str">
        <f t="shared" ref="F2:F33" si="0">IF(D2=0,"",E2/D2)</f>
        <v/>
      </c>
    </row>
    <row r="3" spans="1:7" x14ac:dyDescent="0.3">
      <c r="F3" t="str">
        <f t="shared" si="0"/>
        <v/>
      </c>
    </row>
    <row r="4" spans="1:7" x14ac:dyDescent="0.3">
      <c r="F4" t="str">
        <f t="shared" si="0"/>
        <v/>
      </c>
    </row>
    <row r="5" spans="1:7" x14ac:dyDescent="0.3">
      <c r="F5" t="str">
        <f t="shared" si="0"/>
        <v/>
      </c>
    </row>
    <row r="6" spans="1:7" x14ac:dyDescent="0.3">
      <c r="F6" t="str">
        <f t="shared" si="0"/>
        <v/>
      </c>
    </row>
    <row r="7" spans="1:7" x14ac:dyDescent="0.3">
      <c r="F7" t="str">
        <f t="shared" si="0"/>
        <v/>
      </c>
    </row>
    <row r="8" spans="1:7" x14ac:dyDescent="0.3">
      <c r="F8" t="str">
        <f t="shared" si="0"/>
        <v/>
      </c>
    </row>
    <row r="9" spans="1:7" x14ac:dyDescent="0.3">
      <c r="F9" t="str">
        <f t="shared" si="0"/>
        <v/>
      </c>
    </row>
    <row r="10" spans="1:7" x14ac:dyDescent="0.3">
      <c r="F10" t="str">
        <f t="shared" si="0"/>
        <v/>
      </c>
    </row>
    <row r="11" spans="1:7" x14ac:dyDescent="0.3">
      <c r="F11" t="str">
        <f t="shared" si="0"/>
        <v/>
      </c>
    </row>
    <row r="12" spans="1:7" x14ac:dyDescent="0.3">
      <c r="F12" t="str">
        <f t="shared" si="0"/>
        <v/>
      </c>
    </row>
    <row r="13" spans="1:7" x14ac:dyDescent="0.3">
      <c r="F13" t="str">
        <f t="shared" si="0"/>
        <v/>
      </c>
    </row>
    <row r="14" spans="1:7" x14ac:dyDescent="0.3">
      <c r="F14" t="str">
        <f t="shared" si="0"/>
        <v/>
      </c>
    </row>
    <row r="15" spans="1:7" x14ac:dyDescent="0.3">
      <c r="F15" t="str">
        <f t="shared" si="0"/>
        <v/>
      </c>
    </row>
    <row r="16" spans="1:7" x14ac:dyDescent="0.3">
      <c r="F16" t="str">
        <f t="shared" si="0"/>
        <v/>
      </c>
    </row>
    <row r="17" spans="6:6" x14ac:dyDescent="0.3">
      <c r="F17" t="str">
        <f t="shared" si="0"/>
        <v/>
      </c>
    </row>
    <row r="18" spans="6:6" x14ac:dyDescent="0.3">
      <c r="F18" t="str">
        <f t="shared" si="0"/>
        <v/>
      </c>
    </row>
    <row r="19" spans="6:6" x14ac:dyDescent="0.3">
      <c r="F19" t="str">
        <f t="shared" si="0"/>
        <v/>
      </c>
    </row>
    <row r="20" spans="6:6" x14ac:dyDescent="0.3">
      <c r="F20" t="str">
        <f t="shared" si="0"/>
        <v/>
      </c>
    </row>
    <row r="21" spans="6:6" x14ac:dyDescent="0.3">
      <c r="F21" t="str">
        <f t="shared" si="0"/>
        <v/>
      </c>
    </row>
    <row r="22" spans="6:6" x14ac:dyDescent="0.3">
      <c r="F22" t="str">
        <f t="shared" si="0"/>
        <v/>
      </c>
    </row>
    <row r="23" spans="6:6" x14ac:dyDescent="0.3">
      <c r="F23" t="str">
        <f t="shared" si="0"/>
        <v/>
      </c>
    </row>
    <row r="24" spans="6:6" x14ac:dyDescent="0.3">
      <c r="F24" t="str">
        <f t="shared" si="0"/>
        <v/>
      </c>
    </row>
    <row r="25" spans="6:6" x14ac:dyDescent="0.3">
      <c r="F25" t="str">
        <f t="shared" si="0"/>
        <v/>
      </c>
    </row>
    <row r="26" spans="6:6" x14ac:dyDescent="0.3">
      <c r="F26" t="str">
        <f t="shared" si="0"/>
        <v/>
      </c>
    </row>
    <row r="27" spans="6:6" x14ac:dyDescent="0.3">
      <c r="F27" t="str">
        <f t="shared" si="0"/>
        <v/>
      </c>
    </row>
    <row r="28" spans="6:6" x14ac:dyDescent="0.3">
      <c r="F28" t="str">
        <f t="shared" si="0"/>
        <v/>
      </c>
    </row>
    <row r="29" spans="6:6" x14ac:dyDescent="0.3">
      <c r="F29" t="str">
        <f t="shared" si="0"/>
        <v/>
      </c>
    </row>
    <row r="30" spans="6:6" x14ac:dyDescent="0.3">
      <c r="F30" t="str">
        <f t="shared" si="0"/>
        <v/>
      </c>
    </row>
    <row r="31" spans="6:6" x14ac:dyDescent="0.3">
      <c r="F31" t="str">
        <f t="shared" si="0"/>
        <v/>
      </c>
    </row>
    <row r="32" spans="6:6" x14ac:dyDescent="0.3">
      <c r="F32" t="str">
        <f t="shared" si="0"/>
        <v/>
      </c>
    </row>
    <row r="33" spans="6:6" x14ac:dyDescent="0.3">
      <c r="F33" t="str">
        <f t="shared" si="0"/>
        <v/>
      </c>
    </row>
    <row r="34" spans="6:6" x14ac:dyDescent="0.3">
      <c r="F34" t="str">
        <f t="shared" ref="F34:F65" si="1">IF(D34=0,"",E34/D34)</f>
        <v/>
      </c>
    </row>
    <row r="35" spans="6:6" x14ac:dyDescent="0.3">
      <c r="F35" t="str">
        <f t="shared" si="1"/>
        <v/>
      </c>
    </row>
    <row r="36" spans="6:6" x14ac:dyDescent="0.3">
      <c r="F36" t="str">
        <f t="shared" si="1"/>
        <v/>
      </c>
    </row>
    <row r="37" spans="6:6" x14ac:dyDescent="0.3">
      <c r="F37" t="str">
        <f t="shared" si="1"/>
        <v/>
      </c>
    </row>
    <row r="38" spans="6:6" x14ac:dyDescent="0.3">
      <c r="F38" t="str">
        <f t="shared" si="1"/>
        <v/>
      </c>
    </row>
    <row r="39" spans="6:6" x14ac:dyDescent="0.3">
      <c r="F39" t="str">
        <f t="shared" si="1"/>
        <v/>
      </c>
    </row>
    <row r="40" spans="6:6" x14ac:dyDescent="0.3">
      <c r="F40" t="str">
        <f t="shared" si="1"/>
        <v/>
      </c>
    </row>
    <row r="41" spans="6:6" x14ac:dyDescent="0.3">
      <c r="F41" t="str">
        <f t="shared" si="1"/>
        <v/>
      </c>
    </row>
    <row r="42" spans="6:6" x14ac:dyDescent="0.3">
      <c r="F42" t="str">
        <f t="shared" si="1"/>
        <v/>
      </c>
    </row>
    <row r="43" spans="6:6" x14ac:dyDescent="0.3">
      <c r="F43" t="str">
        <f t="shared" si="1"/>
        <v/>
      </c>
    </row>
    <row r="44" spans="6:6" x14ac:dyDescent="0.3">
      <c r="F44" t="str">
        <f t="shared" si="1"/>
        <v/>
      </c>
    </row>
    <row r="45" spans="6:6" x14ac:dyDescent="0.3">
      <c r="F45" t="str">
        <f t="shared" si="1"/>
        <v/>
      </c>
    </row>
    <row r="46" spans="6:6" x14ac:dyDescent="0.3">
      <c r="F46" t="str">
        <f t="shared" si="1"/>
        <v/>
      </c>
    </row>
    <row r="47" spans="6:6" x14ac:dyDescent="0.3">
      <c r="F47" t="str">
        <f t="shared" si="1"/>
        <v/>
      </c>
    </row>
    <row r="48" spans="6:6" x14ac:dyDescent="0.3">
      <c r="F48" t="str">
        <f t="shared" si="1"/>
        <v/>
      </c>
    </row>
    <row r="49" spans="6:6" x14ac:dyDescent="0.3">
      <c r="F49" t="str">
        <f t="shared" si="1"/>
        <v/>
      </c>
    </row>
    <row r="50" spans="6:6" x14ac:dyDescent="0.3">
      <c r="F50" t="str">
        <f t="shared" si="1"/>
        <v/>
      </c>
    </row>
    <row r="51" spans="6:6" x14ac:dyDescent="0.3">
      <c r="F51" t="str">
        <f t="shared" si="1"/>
        <v/>
      </c>
    </row>
    <row r="52" spans="6:6" x14ac:dyDescent="0.3">
      <c r="F52" t="str">
        <f t="shared" si="1"/>
        <v/>
      </c>
    </row>
    <row r="53" spans="6:6" x14ac:dyDescent="0.3">
      <c r="F53" t="str">
        <f t="shared" si="1"/>
        <v/>
      </c>
    </row>
    <row r="54" spans="6:6" x14ac:dyDescent="0.3">
      <c r="F54" t="str">
        <f t="shared" si="1"/>
        <v/>
      </c>
    </row>
    <row r="55" spans="6:6" x14ac:dyDescent="0.3">
      <c r="F55" t="str">
        <f t="shared" si="1"/>
        <v/>
      </c>
    </row>
    <row r="56" spans="6:6" x14ac:dyDescent="0.3">
      <c r="F56" t="str">
        <f t="shared" si="1"/>
        <v/>
      </c>
    </row>
    <row r="57" spans="6:6" x14ac:dyDescent="0.3">
      <c r="F57" t="str">
        <f t="shared" si="1"/>
        <v/>
      </c>
    </row>
    <row r="58" spans="6:6" x14ac:dyDescent="0.3">
      <c r="F58" t="str">
        <f t="shared" si="1"/>
        <v/>
      </c>
    </row>
    <row r="59" spans="6:6" x14ac:dyDescent="0.3">
      <c r="F59" t="str">
        <f t="shared" si="1"/>
        <v/>
      </c>
    </row>
    <row r="60" spans="6:6" x14ac:dyDescent="0.3">
      <c r="F60" t="str">
        <f t="shared" si="1"/>
        <v/>
      </c>
    </row>
    <row r="61" spans="6:6" x14ac:dyDescent="0.3">
      <c r="F61" t="str">
        <f t="shared" si="1"/>
        <v/>
      </c>
    </row>
    <row r="62" spans="6:6" x14ac:dyDescent="0.3">
      <c r="F62" t="str">
        <f t="shared" si="1"/>
        <v/>
      </c>
    </row>
    <row r="63" spans="6:6" x14ac:dyDescent="0.3">
      <c r="F63" t="str">
        <f t="shared" si="1"/>
        <v/>
      </c>
    </row>
    <row r="64" spans="6:6" x14ac:dyDescent="0.3">
      <c r="F64" t="str">
        <f t="shared" si="1"/>
        <v/>
      </c>
    </row>
    <row r="65" spans="6:6" x14ac:dyDescent="0.3">
      <c r="F65" t="str">
        <f t="shared" si="1"/>
        <v/>
      </c>
    </row>
    <row r="66" spans="6:6" x14ac:dyDescent="0.3">
      <c r="F66" t="str">
        <f t="shared" ref="F66:F97" si="2">IF(D66=0,"",E66/D66)</f>
        <v/>
      </c>
    </row>
    <row r="67" spans="6:6" x14ac:dyDescent="0.3">
      <c r="F67" t="str">
        <f t="shared" si="2"/>
        <v/>
      </c>
    </row>
    <row r="68" spans="6:6" x14ac:dyDescent="0.3">
      <c r="F68" t="str">
        <f t="shared" si="2"/>
        <v/>
      </c>
    </row>
    <row r="69" spans="6:6" x14ac:dyDescent="0.3">
      <c r="F69" t="str">
        <f t="shared" si="2"/>
        <v/>
      </c>
    </row>
    <row r="70" spans="6:6" x14ac:dyDescent="0.3">
      <c r="F70" t="str">
        <f t="shared" si="2"/>
        <v/>
      </c>
    </row>
    <row r="71" spans="6:6" x14ac:dyDescent="0.3">
      <c r="F71" t="str">
        <f t="shared" si="2"/>
        <v/>
      </c>
    </row>
    <row r="72" spans="6:6" x14ac:dyDescent="0.3">
      <c r="F72" t="str">
        <f t="shared" si="2"/>
        <v/>
      </c>
    </row>
    <row r="73" spans="6:6" x14ac:dyDescent="0.3">
      <c r="F73" t="str">
        <f t="shared" si="2"/>
        <v/>
      </c>
    </row>
    <row r="74" spans="6:6" x14ac:dyDescent="0.3">
      <c r="F74" t="str">
        <f t="shared" si="2"/>
        <v/>
      </c>
    </row>
    <row r="75" spans="6:6" x14ac:dyDescent="0.3">
      <c r="F75" t="str">
        <f t="shared" si="2"/>
        <v/>
      </c>
    </row>
    <row r="76" spans="6:6" x14ac:dyDescent="0.3">
      <c r="F76" t="str">
        <f t="shared" si="2"/>
        <v/>
      </c>
    </row>
    <row r="77" spans="6:6" x14ac:dyDescent="0.3">
      <c r="F77" t="str">
        <f t="shared" si="2"/>
        <v/>
      </c>
    </row>
    <row r="78" spans="6:6" x14ac:dyDescent="0.3">
      <c r="F78" t="str">
        <f t="shared" si="2"/>
        <v/>
      </c>
    </row>
    <row r="79" spans="6:6" x14ac:dyDescent="0.3">
      <c r="F79" t="str">
        <f t="shared" si="2"/>
        <v/>
      </c>
    </row>
    <row r="80" spans="6:6" x14ac:dyDescent="0.3">
      <c r="F80" t="str">
        <f t="shared" si="2"/>
        <v/>
      </c>
    </row>
    <row r="81" spans="6:6" x14ac:dyDescent="0.3">
      <c r="F81" t="str">
        <f t="shared" si="2"/>
        <v/>
      </c>
    </row>
    <row r="82" spans="6:6" x14ac:dyDescent="0.3">
      <c r="F82" t="str">
        <f t="shared" si="2"/>
        <v/>
      </c>
    </row>
    <row r="83" spans="6:6" x14ac:dyDescent="0.3">
      <c r="F83" t="str">
        <f t="shared" si="2"/>
        <v/>
      </c>
    </row>
    <row r="84" spans="6:6" x14ac:dyDescent="0.3">
      <c r="F84" t="str">
        <f t="shared" si="2"/>
        <v/>
      </c>
    </row>
    <row r="85" spans="6:6" x14ac:dyDescent="0.3">
      <c r="F85" t="str">
        <f t="shared" si="2"/>
        <v/>
      </c>
    </row>
    <row r="86" spans="6:6" x14ac:dyDescent="0.3">
      <c r="F86" t="str">
        <f t="shared" si="2"/>
        <v/>
      </c>
    </row>
    <row r="87" spans="6:6" x14ac:dyDescent="0.3">
      <c r="F87" t="str">
        <f t="shared" si="2"/>
        <v/>
      </c>
    </row>
    <row r="88" spans="6:6" x14ac:dyDescent="0.3">
      <c r="F88" t="str">
        <f t="shared" si="2"/>
        <v/>
      </c>
    </row>
    <row r="89" spans="6:6" x14ac:dyDescent="0.3">
      <c r="F89" t="str">
        <f t="shared" si="2"/>
        <v/>
      </c>
    </row>
    <row r="90" spans="6:6" x14ac:dyDescent="0.3">
      <c r="F90" t="str">
        <f t="shared" si="2"/>
        <v/>
      </c>
    </row>
    <row r="91" spans="6:6" x14ac:dyDescent="0.3">
      <c r="F91" t="str">
        <f t="shared" si="2"/>
        <v/>
      </c>
    </row>
    <row r="92" spans="6:6" x14ac:dyDescent="0.3">
      <c r="F92" t="str">
        <f t="shared" si="2"/>
        <v/>
      </c>
    </row>
    <row r="93" spans="6:6" x14ac:dyDescent="0.3">
      <c r="F93" t="str">
        <f t="shared" si="2"/>
        <v/>
      </c>
    </row>
    <row r="94" spans="6:6" x14ac:dyDescent="0.3">
      <c r="F94" t="str">
        <f t="shared" si="2"/>
        <v/>
      </c>
    </row>
    <row r="95" spans="6:6" x14ac:dyDescent="0.3">
      <c r="F95" t="str">
        <f t="shared" si="2"/>
        <v/>
      </c>
    </row>
    <row r="96" spans="6:6" x14ac:dyDescent="0.3">
      <c r="F96" t="str">
        <f t="shared" si="2"/>
        <v/>
      </c>
    </row>
    <row r="97" spans="6:6" x14ac:dyDescent="0.3">
      <c r="F97" t="str">
        <f t="shared" si="2"/>
        <v/>
      </c>
    </row>
    <row r="98" spans="6:6" x14ac:dyDescent="0.3">
      <c r="F98" t="str">
        <f t="shared" ref="F98:F129" si="3">IF(D98=0,"",E98/D98)</f>
        <v/>
      </c>
    </row>
    <row r="99" spans="6:6" x14ac:dyDescent="0.3">
      <c r="F99" t="str">
        <f t="shared" si="3"/>
        <v/>
      </c>
    </row>
    <row r="100" spans="6:6" x14ac:dyDescent="0.3">
      <c r="F100" t="str">
        <f t="shared" si="3"/>
        <v/>
      </c>
    </row>
    <row r="101" spans="6:6" x14ac:dyDescent="0.3">
      <c r="F101" t="str">
        <f t="shared" si="3"/>
        <v/>
      </c>
    </row>
    <row r="102" spans="6:6" x14ac:dyDescent="0.3">
      <c r="F102" t="str">
        <f t="shared" si="3"/>
        <v/>
      </c>
    </row>
    <row r="103" spans="6:6" x14ac:dyDescent="0.3">
      <c r="F103" t="str">
        <f t="shared" si="3"/>
        <v/>
      </c>
    </row>
    <row r="104" spans="6:6" x14ac:dyDescent="0.3">
      <c r="F104" t="str">
        <f t="shared" si="3"/>
        <v/>
      </c>
    </row>
    <row r="105" spans="6:6" x14ac:dyDescent="0.3">
      <c r="F105" t="str">
        <f t="shared" si="3"/>
        <v/>
      </c>
    </row>
    <row r="106" spans="6:6" x14ac:dyDescent="0.3">
      <c r="F106" t="str">
        <f t="shared" si="3"/>
        <v/>
      </c>
    </row>
    <row r="107" spans="6:6" x14ac:dyDescent="0.3">
      <c r="F107" t="str">
        <f t="shared" si="3"/>
        <v/>
      </c>
    </row>
    <row r="108" spans="6:6" x14ac:dyDescent="0.3">
      <c r="F108" t="str">
        <f t="shared" si="3"/>
        <v/>
      </c>
    </row>
    <row r="109" spans="6:6" x14ac:dyDescent="0.3">
      <c r="F109" t="str">
        <f t="shared" si="3"/>
        <v/>
      </c>
    </row>
    <row r="110" spans="6:6" x14ac:dyDescent="0.3">
      <c r="F110" t="str">
        <f t="shared" si="3"/>
        <v/>
      </c>
    </row>
    <row r="111" spans="6:6" x14ac:dyDescent="0.3">
      <c r="F111" t="str">
        <f t="shared" si="3"/>
        <v/>
      </c>
    </row>
    <row r="112" spans="6:6" x14ac:dyDescent="0.3">
      <c r="F112" t="str">
        <f t="shared" si="3"/>
        <v/>
      </c>
    </row>
    <row r="113" spans="6:6" x14ac:dyDescent="0.3">
      <c r="F113" t="str">
        <f t="shared" si="3"/>
        <v/>
      </c>
    </row>
    <row r="114" spans="6:6" x14ac:dyDescent="0.3">
      <c r="F114" t="str">
        <f t="shared" si="3"/>
        <v/>
      </c>
    </row>
    <row r="115" spans="6:6" x14ac:dyDescent="0.3">
      <c r="F115" t="str">
        <f t="shared" si="3"/>
        <v/>
      </c>
    </row>
    <row r="116" spans="6:6" x14ac:dyDescent="0.3">
      <c r="F116" t="str">
        <f t="shared" si="3"/>
        <v/>
      </c>
    </row>
    <row r="117" spans="6:6" x14ac:dyDescent="0.3">
      <c r="F117" t="str">
        <f t="shared" si="3"/>
        <v/>
      </c>
    </row>
    <row r="118" spans="6:6" x14ac:dyDescent="0.3">
      <c r="F118" t="str">
        <f t="shared" si="3"/>
        <v/>
      </c>
    </row>
    <row r="119" spans="6:6" x14ac:dyDescent="0.3">
      <c r="F119" t="str">
        <f t="shared" si="3"/>
        <v/>
      </c>
    </row>
    <row r="120" spans="6:6" x14ac:dyDescent="0.3">
      <c r="F120" t="str">
        <f t="shared" si="3"/>
        <v/>
      </c>
    </row>
    <row r="121" spans="6:6" x14ac:dyDescent="0.3">
      <c r="F121" t="str">
        <f t="shared" si="3"/>
        <v/>
      </c>
    </row>
    <row r="122" spans="6:6" x14ac:dyDescent="0.3">
      <c r="F122" t="str">
        <f t="shared" si="3"/>
        <v/>
      </c>
    </row>
    <row r="123" spans="6:6" x14ac:dyDescent="0.3">
      <c r="F123" t="str">
        <f t="shared" si="3"/>
        <v/>
      </c>
    </row>
    <row r="124" spans="6:6" x14ac:dyDescent="0.3">
      <c r="F124" t="str">
        <f t="shared" si="3"/>
        <v/>
      </c>
    </row>
    <row r="125" spans="6:6" x14ac:dyDescent="0.3">
      <c r="F125" t="str">
        <f t="shared" si="3"/>
        <v/>
      </c>
    </row>
    <row r="126" spans="6:6" x14ac:dyDescent="0.3">
      <c r="F126" t="str">
        <f t="shared" si="3"/>
        <v/>
      </c>
    </row>
    <row r="127" spans="6:6" x14ac:dyDescent="0.3">
      <c r="F127" t="str">
        <f t="shared" si="3"/>
        <v/>
      </c>
    </row>
    <row r="128" spans="6:6" x14ac:dyDescent="0.3">
      <c r="F128" t="str">
        <f t="shared" si="3"/>
        <v/>
      </c>
    </row>
    <row r="129" spans="6:6" x14ac:dyDescent="0.3">
      <c r="F129" t="str">
        <f t="shared" si="3"/>
        <v/>
      </c>
    </row>
    <row r="130" spans="6:6" x14ac:dyDescent="0.3">
      <c r="F130" t="str">
        <f t="shared" ref="F130:F161" si="4">IF(D130=0,"",E130/D130)</f>
        <v/>
      </c>
    </row>
    <row r="131" spans="6:6" x14ac:dyDescent="0.3">
      <c r="F131" t="str">
        <f t="shared" si="4"/>
        <v/>
      </c>
    </row>
    <row r="132" spans="6:6" x14ac:dyDescent="0.3">
      <c r="F132" t="str">
        <f t="shared" si="4"/>
        <v/>
      </c>
    </row>
    <row r="133" spans="6:6" x14ac:dyDescent="0.3">
      <c r="F133" t="str">
        <f t="shared" si="4"/>
        <v/>
      </c>
    </row>
    <row r="134" spans="6:6" x14ac:dyDescent="0.3">
      <c r="F134" t="str">
        <f t="shared" si="4"/>
        <v/>
      </c>
    </row>
    <row r="135" spans="6:6" x14ac:dyDescent="0.3">
      <c r="F135" t="str">
        <f t="shared" si="4"/>
        <v/>
      </c>
    </row>
    <row r="136" spans="6:6" x14ac:dyDescent="0.3">
      <c r="F136" t="str">
        <f t="shared" si="4"/>
        <v/>
      </c>
    </row>
    <row r="137" spans="6:6" x14ac:dyDescent="0.3">
      <c r="F137" t="str">
        <f t="shared" si="4"/>
        <v/>
      </c>
    </row>
    <row r="138" spans="6:6" x14ac:dyDescent="0.3">
      <c r="F138" t="str">
        <f t="shared" si="4"/>
        <v/>
      </c>
    </row>
    <row r="139" spans="6:6" x14ac:dyDescent="0.3">
      <c r="F139" t="str">
        <f t="shared" si="4"/>
        <v/>
      </c>
    </row>
    <row r="140" spans="6:6" x14ac:dyDescent="0.3">
      <c r="F140" t="str">
        <f t="shared" si="4"/>
        <v/>
      </c>
    </row>
    <row r="141" spans="6:6" x14ac:dyDescent="0.3">
      <c r="F141" t="str">
        <f t="shared" si="4"/>
        <v/>
      </c>
    </row>
    <row r="142" spans="6:6" x14ac:dyDescent="0.3">
      <c r="F142" t="str">
        <f t="shared" si="4"/>
        <v/>
      </c>
    </row>
    <row r="143" spans="6:6" x14ac:dyDescent="0.3">
      <c r="F143" t="str">
        <f t="shared" si="4"/>
        <v/>
      </c>
    </row>
    <row r="144" spans="6:6" x14ac:dyDescent="0.3">
      <c r="F144" t="str">
        <f t="shared" si="4"/>
        <v/>
      </c>
    </row>
    <row r="145" spans="6:6" x14ac:dyDescent="0.3">
      <c r="F145" t="str">
        <f t="shared" si="4"/>
        <v/>
      </c>
    </row>
    <row r="146" spans="6:6" x14ac:dyDescent="0.3">
      <c r="F146" t="str">
        <f t="shared" si="4"/>
        <v/>
      </c>
    </row>
    <row r="147" spans="6:6" x14ac:dyDescent="0.3">
      <c r="F147" t="str">
        <f t="shared" si="4"/>
        <v/>
      </c>
    </row>
    <row r="148" spans="6:6" x14ac:dyDescent="0.3">
      <c r="F148" t="str">
        <f t="shared" si="4"/>
        <v/>
      </c>
    </row>
    <row r="149" spans="6:6" x14ac:dyDescent="0.3">
      <c r="F149" t="str">
        <f t="shared" si="4"/>
        <v/>
      </c>
    </row>
    <row r="150" spans="6:6" x14ac:dyDescent="0.3">
      <c r="F150" t="str">
        <f t="shared" si="4"/>
        <v/>
      </c>
    </row>
    <row r="151" spans="6:6" x14ac:dyDescent="0.3">
      <c r="F151" t="str">
        <f t="shared" si="4"/>
        <v/>
      </c>
    </row>
    <row r="152" spans="6:6" x14ac:dyDescent="0.3">
      <c r="F152" t="str">
        <f t="shared" si="4"/>
        <v/>
      </c>
    </row>
    <row r="153" spans="6:6" x14ac:dyDescent="0.3">
      <c r="F153" t="str">
        <f t="shared" si="4"/>
        <v/>
      </c>
    </row>
    <row r="154" spans="6:6" x14ac:dyDescent="0.3">
      <c r="F154" t="str">
        <f t="shared" si="4"/>
        <v/>
      </c>
    </row>
    <row r="155" spans="6:6" x14ac:dyDescent="0.3">
      <c r="F155" t="str">
        <f t="shared" si="4"/>
        <v/>
      </c>
    </row>
    <row r="156" spans="6:6" x14ac:dyDescent="0.3">
      <c r="F156" t="str">
        <f t="shared" si="4"/>
        <v/>
      </c>
    </row>
    <row r="157" spans="6:6" x14ac:dyDescent="0.3">
      <c r="F157" t="str">
        <f t="shared" si="4"/>
        <v/>
      </c>
    </row>
    <row r="158" spans="6:6" x14ac:dyDescent="0.3">
      <c r="F158" t="str">
        <f t="shared" si="4"/>
        <v/>
      </c>
    </row>
    <row r="159" spans="6:6" x14ac:dyDescent="0.3">
      <c r="F159" t="str">
        <f t="shared" si="4"/>
        <v/>
      </c>
    </row>
    <row r="160" spans="6:6" x14ac:dyDescent="0.3">
      <c r="F160" t="str">
        <f t="shared" si="4"/>
        <v/>
      </c>
    </row>
    <row r="161" spans="6:6" x14ac:dyDescent="0.3">
      <c r="F161" t="str">
        <f t="shared" si="4"/>
        <v/>
      </c>
    </row>
    <row r="162" spans="6:6" x14ac:dyDescent="0.3">
      <c r="F162" t="str">
        <f t="shared" ref="F162:F193" si="5">IF(D162=0,"",E162/D162)</f>
        <v/>
      </c>
    </row>
    <row r="163" spans="6:6" x14ac:dyDescent="0.3">
      <c r="F163" t="str">
        <f t="shared" si="5"/>
        <v/>
      </c>
    </row>
    <row r="164" spans="6:6" x14ac:dyDescent="0.3">
      <c r="F164" t="str">
        <f t="shared" si="5"/>
        <v/>
      </c>
    </row>
    <row r="165" spans="6:6" x14ac:dyDescent="0.3">
      <c r="F165" t="str">
        <f t="shared" si="5"/>
        <v/>
      </c>
    </row>
    <row r="166" spans="6:6" x14ac:dyDescent="0.3">
      <c r="F166" t="str">
        <f t="shared" si="5"/>
        <v/>
      </c>
    </row>
    <row r="167" spans="6:6" x14ac:dyDescent="0.3">
      <c r="F167" t="str">
        <f t="shared" si="5"/>
        <v/>
      </c>
    </row>
    <row r="168" spans="6:6" x14ac:dyDescent="0.3">
      <c r="F168" t="str">
        <f t="shared" si="5"/>
        <v/>
      </c>
    </row>
    <row r="169" spans="6:6" x14ac:dyDescent="0.3">
      <c r="F169" t="str">
        <f t="shared" si="5"/>
        <v/>
      </c>
    </row>
    <row r="170" spans="6:6" x14ac:dyDescent="0.3">
      <c r="F170" t="str">
        <f t="shared" si="5"/>
        <v/>
      </c>
    </row>
    <row r="171" spans="6:6" x14ac:dyDescent="0.3">
      <c r="F171" t="str">
        <f t="shared" si="5"/>
        <v/>
      </c>
    </row>
    <row r="172" spans="6:6" x14ac:dyDescent="0.3">
      <c r="F172" t="str">
        <f t="shared" si="5"/>
        <v/>
      </c>
    </row>
    <row r="173" spans="6:6" x14ac:dyDescent="0.3">
      <c r="F173" t="str">
        <f t="shared" si="5"/>
        <v/>
      </c>
    </row>
    <row r="174" spans="6:6" x14ac:dyDescent="0.3">
      <c r="F174" t="str">
        <f t="shared" si="5"/>
        <v/>
      </c>
    </row>
    <row r="175" spans="6:6" x14ac:dyDescent="0.3">
      <c r="F175" t="str">
        <f t="shared" si="5"/>
        <v/>
      </c>
    </row>
    <row r="176" spans="6:6" x14ac:dyDescent="0.3">
      <c r="F176" t="str">
        <f t="shared" si="5"/>
        <v/>
      </c>
    </row>
    <row r="177" spans="6:6" x14ac:dyDescent="0.3">
      <c r="F177" t="str">
        <f t="shared" si="5"/>
        <v/>
      </c>
    </row>
    <row r="178" spans="6:6" x14ac:dyDescent="0.3">
      <c r="F178" t="str">
        <f t="shared" si="5"/>
        <v/>
      </c>
    </row>
    <row r="179" spans="6:6" x14ac:dyDescent="0.3">
      <c r="F179" t="str">
        <f t="shared" si="5"/>
        <v/>
      </c>
    </row>
    <row r="180" spans="6:6" x14ac:dyDescent="0.3">
      <c r="F180" t="str">
        <f t="shared" si="5"/>
        <v/>
      </c>
    </row>
    <row r="181" spans="6:6" x14ac:dyDescent="0.3">
      <c r="F181" t="str">
        <f t="shared" si="5"/>
        <v/>
      </c>
    </row>
    <row r="182" spans="6:6" x14ac:dyDescent="0.3">
      <c r="F182" t="str">
        <f t="shared" si="5"/>
        <v/>
      </c>
    </row>
    <row r="183" spans="6:6" x14ac:dyDescent="0.3">
      <c r="F183" t="str">
        <f t="shared" si="5"/>
        <v/>
      </c>
    </row>
    <row r="184" spans="6:6" x14ac:dyDescent="0.3">
      <c r="F184" t="str">
        <f t="shared" si="5"/>
        <v/>
      </c>
    </row>
    <row r="185" spans="6:6" x14ac:dyDescent="0.3">
      <c r="F185" t="str">
        <f t="shared" si="5"/>
        <v/>
      </c>
    </row>
    <row r="186" spans="6:6" x14ac:dyDescent="0.3">
      <c r="F186" t="str">
        <f t="shared" si="5"/>
        <v/>
      </c>
    </row>
    <row r="187" spans="6:6" x14ac:dyDescent="0.3">
      <c r="F187" t="str">
        <f t="shared" si="5"/>
        <v/>
      </c>
    </row>
    <row r="188" spans="6:6" x14ac:dyDescent="0.3">
      <c r="F188" t="str">
        <f t="shared" si="5"/>
        <v/>
      </c>
    </row>
    <row r="189" spans="6:6" x14ac:dyDescent="0.3">
      <c r="F189" t="str">
        <f t="shared" si="5"/>
        <v/>
      </c>
    </row>
    <row r="190" spans="6:6" x14ac:dyDescent="0.3">
      <c r="F190" t="str">
        <f t="shared" si="5"/>
        <v/>
      </c>
    </row>
    <row r="191" spans="6:6" x14ac:dyDescent="0.3">
      <c r="F191" t="str">
        <f t="shared" si="5"/>
        <v/>
      </c>
    </row>
    <row r="192" spans="6:6" x14ac:dyDescent="0.3">
      <c r="F192" t="str">
        <f t="shared" si="5"/>
        <v/>
      </c>
    </row>
    <row r="193" spans="6:6" x14ac:dyDescent="0.3">
      <c r="F193" t="str">
        <f t="shared" si="5"/>
        <v/>
      </c>
    </row>
    <row r="194" spans="6:6" x14ac:dyDescent="0.3">
      <c r="F194" t="str">
        <f t="shared" ref="F194:F201" si="6">IF(D194=0,"",E194/D194)</f>
        <v/>
      </c>
    </row>
    <row r="195" spans="6:6" x14ac:dyDescent="0.3">
      <c r="F195" t="str">
        <f t="shared" si="6"/>
        <v/>
      </c>
    </row>
    <row r="196" spans="6:6" x14ac:dyDescent="0.3">
      <c r="F196" t="str">
        <f t="shared" si="6"/>
        <v/>
      </c>
    </row>
    <row r="197" spans="6:6" x14ac:dyDescent="0.3">
      <c r="F197" t="str">
        <f t="shared" si="6"/>
        <v/>
      </c>
    </row>
    <row r="198" spans="6:6" x14ac:dyDescent="0.3">
      <c r="F198" t="str">
        <f t="shared" si="6"/>
        <v/>
      </c>
    </row>
    <row r="199" spans="6:6" x14ac:dyDescent="0.3">
      <c r="F199" t="str">
        <f t="shared" si="6"/>
        <v/>
      </c>
    </row>
    <row r="200" spans="6:6" x14ac:dyDescent="0.3">
      <c r="F200" t="str">
        <f t="shared" si="6"/>
        <v/>
      </c>
    </row>
    <row r="201" spans="6:6" x14ac:dyDescent="0.3">
      <c r="F201" t="str">
        <f t="shared" si="6"/>
        <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RowHeight="14.4" x14ac:dyDescent="0.3"/>
  <cols>
    <col min="1" max="2" width="22" customWidth="1"/>
  </cols>
  <sheetData>
    <row r="1" spans="1:2" x14ac:dyDescent="0.3">
      <c r="A1" s="1" t="s">
        <v>532</v>
      </c>
      <c r="B1" s="1" t="s">
        <v>533</v>
      </c>
    </row>
    <row r="2" spans="1:2" x14ac:dyDescent="0.3">
      <c r="A2" t="s">
        <v>534</v>
      </c>
      <c r="B2">
        <f>COUNTA('Requirements Tracker'!A:A)-1</f>
        <v>81</v>
      </c>
    </row>
    <row r="3" spans="1:2" x14ac:dyDescent="0.3">
      <c r="A3" t="s">
        <v>535</v>
      </c>
      <c r="B3">
        <f>COUNTIF('Requirements Tracker'!F:F,"&lt;&gt;Completed")-1</f>
        <v>1048575</v>
      </c>
    </row>
    <row r="4" spans="1:2" x14ac:dyDescent="0.3">
      <c r="A4" t="s">
        <v>536</v>
      </c>
      <c r="B4">
        <f>COUNTA('Issue Tracker'!A:A)-1</f>
        <v>193</v>
      </c>
    </row>
    <row r="5" spans="1:2" x14ac:dyDescent="0.3">
      <c r="A5" t="s">
        <v>537</v>
      </c>
      <c r="B5">
        <f>COUNTIF('Issue Tracker'!G:G,"Open")</f>
        <v>12</v>
      </c>
    </row>
    <row r="6" spans="1:2" x14ac:dyDescent="0.3">
      <c r="A6" t="s">
        <v>538</v>
      </c>
      <c r="B6">
        <f ca="1">COUNTIFS('Action Item'!E:E,"&lt;"&amp;TODAY(),'Action Item'!F:F,"&lt;&gt;Completed")</f>
        <v>0</v>
      </c>
    </row>
    <row r="7" spans="1:2" x14ac:dyDescent="0.3">
      <c r="A7" t="s">
        <v>539</v>
      </c>
      <c r="B7" t="e">
        <f>AVERAGE('Sprint Tracker'!F:F)</f>
        <v>#DIV/0!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9411-CF41-4AE3-A707-94070E0236CC}">
  <dimension ref="A1:L5"/>
  <sheetViews>
    <sheetView topLeftCell="D1" workbookViewId="0">
      <selection activeCell="H9" sqref="H9"/>
    </sheetView>
  </sheetViews>
  <sheetFormatPr defaultRowHeight="14.4" x14ac:dyDescent="0.3"/>
  <cols>
    <col min="1" max="1" width="6.6640625" bestFit="1" customWidth="1"/>
    <col min="2" max="2" width="21.5546875" bestFit="1" customWidth="1"/>
    <col min="3" max="3" width="22.6640625" customWidth="1"/>
    <col min="4" max="4" width="47.44140625" customWidth="1"/>
    <col min="5" max="5" width="11" bestFit="1" customWidth="1"/>
    <col min="6" max="6" width="8.109375" bestFit="1" customWidth="1"/>
    <col min="7" max="7" width="10.5546875" bestFit="1" customWidth="1"/>
    <col min="8" max="8" width="16.6640625" customWidth="1"/>
    <col min="9" max="9" width="12.5546875" bestFit="1" customWidth="1"/>
    <col min="10" max="10" width="11.33203125" bestFit="1" customWidth="1"/>
    <col min="11" max="11" width="17.44140625" bestFit="1" customWidth="1"/>
    <col min="12" max="12" width="46.44140625" bestFit="1" customWidth="1"/>
  </cols>
  <sheetData>
    <row r="1" spans="1:12" x14ac:dyDescent="0.3">
      <c r="A1" s="2" t="s">
        <v>540</v>
      </c>
      <c r="B1" s="12" t="s">
        <v>541</v>
      </c>
      <c r="C1" s="12" t="s">
        <v>542</v>
      </c>
      <c r="D1" s="2" t="s">
        <v>2</v>
      </c>
      <c r="E1" s="2" t="s">
        <v>3</v>
      </c>
      <c r="F1" s="2" t="s">
        <v>4</v>
      </c>
      <c r="G1" s="2" t="s">
        <v>5</v>
      </c>
      <c r="H1" s="2" t="s">
        <v>6</v>
      </c>
      <c r="I1" s="13" t="s">
        <v>7</v>
      </c>
      <c r="J1" s="13" t="s">
        <v>8</v>
      </c>
      <c r="K1" s="2" t="s">
        <v>9</v>
      </c>
      <c r="L1" s="2" t="s">
        <v>10</v>
      </c>
    </row>
    <row r="2" spans="1:12" x14ac:dyDescent="0.3">
      <c r="A2">
        <v>1</v>
      </c>
      <c r="B2" t="s">
        <v>543</v>
      </c>
      <c r="C2" t="s">
        <v>544</v>
      </c>
      <c r="D2" t="s">
        <v>545</v>
      </c>
      <c r="E2" t="s">
        <v>543</v>
      </c>
      <c r="F2" t="s">
        <v>34</v>
      </c>
      <c r="G2" t="s">
        <v>546</v>
      </c>
      <c r="H2" t="s">
        <v>547</v>
      </c>
      <c r="I2" s="17">
        <v>46184</v>
      </c>
      <c r="J2" s="17">
        <v>46186</v>
      </c>
      <c r="L2" t="s">
        <v>548</v>
      </c>
    </row>
    <row r="3" spans="1:12" x14ac:dyDescent="0.3">
      <c r="A3">
        <v>2</v>
      </c>
      <c r="B3" t="s">
        <v>549</v>
      </c>
      <c r="C3" t="s">
        <v>544</v>
      </c>
      <c r="D3" t="s">
        <v>550</v>
      </c>
      <c r="E3" t="s">
        <v>551</v>
      </c>
      <c r="F3" t="s">
        <v>17</v>
      </c>
      <c r="G3" t="s">
        <v>552</v>
      </c>
      <c r="H3" t="s">
        <v>547</v>
      </c>
      <c r="I3" s="17">
        <v>46186</v>
      </c>
      <c r="J3" s="17">
        <v>46186</v>
      </c>
      <c r="K3" s="17">
        <v>46186</v>
      </c>
    </row>
    <row r="4" spans="1:12" s="28" customFormat="1" x14ac:dyDescent="0.3">
      <c r="A4" s="28">
        <v>3</v>
      </c>
      <c r="B4" s="28" t="s">
        <v>553</v>
      </c>
      <c r="C4" s="28" t="s">
        <v>554</v>
      </c>
      <c r="D4" s="28" t="s">
        <v>555</v>
      </c>
      <c r="E4" s="28" t="s">
        <v>213</v>
      </c>
      <c r="F4" s="28" t="s">
        <v>34</v>
      </c>
      <c r="G4" s="28" t="s">
        <v>552</v>
      </c>
      <c r="H4" s="31" t="s">
        <v>332</v>
      </c>
      <c r="I4" s="32">
        <v>46185</v>
      </c>
      <c r="J4" s="32">
        <v>46185</v>
      </c>
      <c r="K4" s="32">
        <v>46185</v>
      </c>
      <c r="L4" s="28" t="s">
        <v>556</v>
      </c>
    </row>
    <row r="5" spans="1:12" s="19" customFormat="1" x14ac:dyDescent="0.3">
      <c r="A5" s="19">
        <v>4</v>
      </c>
      <c r="B5" s="19" t="s">
        <v>557</v>
      </c>
      <c r="C5" s="19" t="s">
        <v>558</v>
      </c>
      <c r="D5" s="19" t="s">
        <v>559</v>
      </c>
      <c r="E5" s="19" t="s">
        <v>560</v>
      </c>
      <c r="F5" t="s">
        <v>17</v>
      </c>
      <c r="G5" s="19" t="s">
        <v>552</v>
      </c>
      <c r="H5" s="19" t="s">
        <v>213</v>
      </c>
      <c r="I5" s="32">
        <v>46185</v>
      </c>
      <c r="J5" s="32">
        <v>46185</v>
      </c>
      <c r="K5" s="32">
        <v>46185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
  <sheetViews>
    <sheetView workbookViewId="0">
      <selection activeCell="E21" sqref="E21"/>
    </sheetView>
  </sheetViews>
  <sheetFormatPr defaultRowHeight="14.4" x14ac:dyDescent="0.3"/>
  <cols>
    <col min="1" max="6" width="22" customWidth="1"/>
  </cols>
  <sheetData>
    <row r="1" spans="1:6" x14ac:dyDescent="0.3">
      <c r="A1" s="1" t="s">
        <v>540</v>
      </c>
      <c r="B1" s="1" t="s">
        <v>561</v>
      </c>
      <c r="C1" s="1" t="s">
        <v>390</v>
      </c>
      <c r="D1" s="1" t="s">
        <v>6</v>
      </c>
      <c r="E1" s="1" t="s">
        <v>274</v>
      </c>
      <c r="F1" s="1" t="s">
        <v>5</v>
      </c>
    </row>
  </sheetData>
  <conditionalFormatting sqref="A2:F500">
    <cfRule type="expression" priority="1">
      <formula>AND($E2&lt;TODAY(),$F2&lt;&gt;"Completed",$F2&lt;&gt;"Closed")</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Requirements Tracker</vt:lpstr>
      <vt:lpstr>Issue Tracker</vt:lpstr>
      <vt:lpstr>Test Items Tracker</vt:lpstr>
      <vt:lpstr>Sprint Tracker</vt:lpstr>
      <vt:lpstr>Dashboard</vt:lpstr>
      <vt:lpstr>Support</vt:lpstr>
      <vt:lpstr>Action Item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Thiravidam selvan</cp:lastModifiedBy>
  <cp:revision/>
  <dcterms:created xsi:type="dcterms:W3CDTF">2026-06-10T11:50:01Z</dcterms:created>
  <dcterms:modified xsi:type="dcterms:W3CDTF">2026-06-14T14:44:40Z</dcterms:modified>
  <cp:category/>
  <cp:contentStatus/>
</cp:coreProperties>
</file>